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22e87fdc8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4baef5664aa47de"/>
    <x:sheet xmlns:r="http://schemas.openxmlformats.org/officeDocument/2006/relationships" name="01_SCHEDULE_LOGIC" sheetId="2" r:id="R1e58d1aad64542e9"/>
    <x:sheet xmlns:r="http://schemas.openxmlformats.org/officeDocument/2006/relationships" name="02_MONTHLY_S_CURVE" sheetId="3" r:id="R68118ddc92934289"/>
  </x:sheets>
</x:workbook>
</file>

<file path=xl/sharedStrings.xml><?xml version="1.0" encoding="utf-8"?>
<x:sst xmlns:x="http://schemas.openxmlformats.org/spreadsheetml/2006/main">
  <x:si>
    <x:t xml:space="preserve">CHINAIMO — SCHEDULE LOGIC / MONTHLY PROGRESS / S-CURVE ANNEX</x:t>
  </x:si>
  <x:si>
    <x:t xml:space="preserve">Separate reviewer annex so the final beautified Master Excel remains lean and unchanged.</x:t>
  </x:si>
  <x:si>
    <x:t xml:space="preserve">CONTROL ITEM</x:t>
  </x:si>
  <x:si>
    <x:t xml:space="preserve">LOCKED VALUE / RULE</x:t>
  </x:si>
  <x:si>
    <x:t xml:space="preserve">Assessment baseline start</x:t>
  </x:si>
  <x:si>
    <x:t xml:space="preserve">Native baseline finish</x:t>
  </x:si>
  <x:si>
    <x:t xml:space="preserve">Assessment data date</x:t>
  </x:si>
  <x:si>
    <x:t xml:space="preserve">Native current forecast</x:t>
  </x:si>
  <x:si>
    <x:t xml:space="preserve">Native partial recovery</x:t>
  </x:si>
  <x:si>
    <x:t xml:space="preserve">Public completion target</x:t>
  </x:si>
  <x:si>
    <x:t xml:space="preserve">July 2028 (separate public target reference)</x:t>
  </x:si>
  <x:si>
    <x:t xml:space="preserve">Progress basis</x:t>
  </x:si>
  <x:si>
    <x:t xml:space="preserve">4.19% public checkpoint @ 05-May-2026; 12.095% assessment-simulated @ 31-Aug-2026</x:t>
  </x:si>
  <x:si>
    <x:t xml:space="preserve">LOGIC NOTATION</x:t>
  </x:si>
  <x:si>
    <x:t xml:space="preserve">MEANING</x:t>
  </x:si>
  <x:si>
    <x:t xml:space="preserve">FS</x:t>
  </x:si>
  <x:si>
    <x:t xml:space="preserve">Finish-to-Start</x:t>
  </x:si>
  <x:si>
    <x:t xml:space="preserve">SS</x:t>
  </x:si>
  <x:si>
    <x:t xml:space="preserve">Start-to-Start</x:t>
  </x:si>
  <x:si>
    <x:t xml:space="preserve">SS+5d</x:t>
  </x:si>
  <x:si>
    <x:t xml:space="preserve">Start-to-Start with 5 working-day lag</x:t>
  </x:si>
  <x:si>
    <x:t xml:space="preserve">Multiple predecessors</x:t>
  </x:si>
  <x:si>
    <x:t xml:space="preserve">Semicolon-separated predecessor IDs and relationship strings pair in the same order.</x:t>
  </x:si>
  <x:si>
    <x:t xml:space="preserve">Boundary</x:t>
  </x:si>
  <x:si>
    <x:t xml:space="preserve">Logic and durations are assessment-derived for demonstration; they are not represented as Kubota's confidential approved programme.</x:t>
  </x:si>
  <x:si>
    <x:t xml:space="preserve">S-CURVE NOTE — Baseline Planned % is the assessment control curve. The two future curves are illustrative smooth interpolations anchored to the native Microsoft Project completion dates (23-Jun-2028 current and 14-Apr-2028 recovery). They demonstrate forecast presentation only and are not contractual cash-flow, earned-value, manpower, or Kubota internal curves.</x:t>
  </x:si>
  <x:si>
    <x:t xml:space="preserve">ASSESSMENT BASELINE — ACTIVITY LOGIC &amp; PREDECESSOR RELATIONSHIPS</x:t>
  </x:si>
  <x:si>
    <x:t xml:space="preserve">Same Activity IDs and dependency logic used to build the native Microsoft Project baseline. Baseline dates are reconciled to the final 01-Oct-2025 start / 15-Feb-2028 finish.</x:t>
  </x:si>
  <x:si>
    <x:t xml:space="preserve">Activity ID</x:t>
  </x:si>
  <x:si>
    <x:t xml:space="preserve">WBS</x:t>
  </x:si>
  <x:si>
    <x:t xml:space="preserve">Workstream</x:t>
  </x:si>
  <x:si>
    <x:t xml:space="preserve">Activity Name</x:t>
  </x:si>
  <x:si>
    <x:t xml:space="preserve">Duration (wd)</x:t>
  </x:si>
  <x:si>
    <x:t xml:space="preserve">Predecessor ID(s)</x:t>
  </x:si>
  <x:si>
    <x:t xml:space="preserve">Relationship(s)</x:t>
  </x:si>
  <x:si>
    <x:t xml:space="preserve">Readable Logic</x:t>
  </x:si>
  <x:si>
    <x:t xml:space="preserve">Baseline Start</x:t>
  </x:si>
  <x:si>
    <x:t xml:space="preserve">Baseline Finish</x:t>
  </x:si>
  <x:si>
    <x:t xml:space="preserve">Total Slack (wd)</x:t>
  </x:si>
  <x:si>
    <x:t xml:space="preserve">Critical?</x:t>
  </x:si>
  <x:si>
    <x:t xml:space="preserve">PREL-010</x:t>
  </x:si>
  <x:si>
    <x:t xml:space="preserve">1.1</x:t>
  </x:si>
  <x:si>
    <x:t xml:space="preserve">Preliminaries</x:t>
  </x:si>
  <x:si>
    <x:t xml:space="preserve">Notice to Proceed</x:t>
  </x:si>
  <x:si>
    <x:t xml:space="preserve">—</x:t>
  </x:si>
  <x:si>
    <x:t xml:space="preserve">YES</x:t>
  </x:si>
  <x:si>
    <x:t xml:space="preserve">PREL-020</x:t>
  </x:si>
  <x:si>
    <x:t xml:space="preserve">1.2</x:t>
  </x:si>
  <x:si>
    <x:t xml:space="preserve">Mobilization &amp; Temporary Facilities</x:t>
  </x:si>
  <x:si>
    <x:t xml:space="preserve">PREL-010 (FS)</x:t>
  </x:si>
  <x:si>
    <x:t xml:space="preserve">PREL-030</x:t>
  </x:si>
  <x:si>
    <x:t xml:space="preserve">1.3</x:t>
  </x:si>
  <x:si>
    <x:t xml:space="preserve">Survey / Setting Out</x:t>
  </x:si>
  <x:si>
    <x:t xml:space="preserve">PREL-020 (SS+5d)</x:t>
  </x:si>
  <x:si>
    <x:t xml:space="preserve">DES-010</x:t>
  </x:si>
  <x:si>
    <x:t xml:space="preserve">2.1</x:t>
  </x:si>
  <x:si>
    <x:t xml:space="preserve">Design &amp; Procurement</x:t>
  </x:si>
  <x:si>
    <x:t xml:space="preserve">Review IFC Drawings / Interfaces</x:t>
  </x:si>
  <x:si>
    <x:t xml:space="preserve">NO</x:t>
  </x:si>
  <x:si>
    <x:t xml:space="preserve">DES-020</x:t>
  </x:si>
  <x:si>
    <x:t xml:space="preserve">2.2</x:t>
  </x:si>
  <x:si>
    <x:t xml:space="preserve">Method Statements &amp; Material Submittals</x:t>
  </x:si>
  <x:si>
    <x:t xml:space="preserve">SS+10d</x:t>
  </x:si>
  <x:si>
    <x:t xml:space="preserve">DES-010 (SS+10d)</x:t>
  </x:si>
  <x:si>
    <x:t xml:space="preserve">PROC-010</x:t>
  </x:si>
  <x:si>
    <x:t xml:space="preserve">2.3</x:t>
  </x:si>
  <x:si>
    <x:t xml:space="preserve">Long-Lead M&amp;E Procurement</x:t>
  </x:si>
  <x:si>
    <x:t xml:space="preserve">DES-020 (FS)</x:t>
  </x:si>
  <x:si>
    <x:t xml:space="preserve">PROC-020</x:t>
  </x:si>
  <x:si>
    <x:t xml:space="preserve">2.4</x:t>
  </x:si>
  <x:si>
    <x:t xml:space="preserve">SCADA / Instrumentation Procurement</x:t>
  </x:si>
  <x:si>
    <x:t xml:space="preserve">PROC-030</x:t>
  </x:si>
  <x:si>
    <x:t xml:space="preserve">2.5</x:t>
  </x:si>
  <x:si>
    <x:t xml:space="preserve">Electrical / Receiving Equipment Procurement</x:t>
  </x:si>
  <x:si>
    <x:t xml:space="preserve">WTP-CIV-010</x:t>
  </x:si>
  <x:si>
    <x:t xml:space="preserve">3.1</x:t>
  </x:si>
  <x:si>
    <x:t xml:space="preserve">Chinaimo WTP</x:t>
  </x:si>
  <x:si>
    <x:t xml:space="preserve">Site Clearing / Excavation / Dewatering</x:t>
  </x:si>
  <x:si>
    <x:t xml:space="preserve">PREL-030 (FS)</x:t>
  </x:si>
  <x:si>
    <x:t xml:space="preserve">WTP-CIV-020</x:t>
  </x:si>
  <x:si>
    <x:t xml:space="preserve">3.2</x:t>
  </x:si>
  <x:si>
    <x:t xml:space="preserve">Ground Preparation / Blinding</x:t>
  </x:si>
  <x:si>
    <x:t xml:space="preserve">WTP-CIV-010 (FS)</x:t>
  </x:si>
  <x:si>
    <x:t xml:space="preserve">WTP-CIV-030</x:t>
  </x:si>
  <x:si>
    <x:t xml:space="preserve">3.3</x:t>
  </x:si>
  <x:si>
    <x:t xml:space="preserve">WTP Foundations / Base Slabs</x:t>
  </x:si>
  <x:si>
    <x:t xml:space="preserve">WTP-CIV-020 (FS)</x:t>
  </x:si>
  <x:si>
    <x:t xml:space="preserve">WTP-CIV-040</x:t>
  </x:si>
  <x:si>
    <x:t xml:space="preserve">3.4</x:t>
  </x:si>
  <x:si>
    <x:t xml:space="preserve">Mixing / Flocculation Basin RC Works</x:t>
  </x:si>
  <x:si>
    <x:t xml:space="preserve">WTP-CIV-030 (FS)</x:t>
  </x:si>
  <x:si>
    <x:t xml:space="preserve">WTP-CIV-050</x:t>
  </x:si>
  <x:si>
    <x:t xml:space="preserve">3.5</x:t>
  </x:si>
  <x:si>
    <x:t xml:space="preserve">Sedimentation Basin RC Works</x:t>
  </x:si>
  <x:si>
    <x:t xml:space="preserve">SS+20d</x:t>
  </x:si>
  <x:si>
    <x:t xml:space="preserve">WTP-CIV-040 (SS+20d)</x:t>
  </x:si>
  <x:si>
    <x:t xml:space="preserve">WTP-CIV-060</x:t>
  </x:si>
  <x:si>
    <x:t xml:space="preserve">3.6</x:t>
  </x:si>
  <x:si>
    <x:t xml:space="preserve">Rapid Sand Filter Structure</x:t>
  </x:si>
  <x:si>
    <x:t xml:space="preserve">WTP-CIV-050 (FS)</x:t>
  </x:si>
  <x:si>
    <x:t xml:space="preserve">WTP-CIV-070</x:t>
  </x:si>
  <x:si>
    <x:t xml:space="preserve">3.7</x:t>
  </x:si>
  <x:si>
    <x:t xml:space="preserve">Internal Channels / Pipe Galleries</x:t>
  </x:si>
  <x:si>
    <x:t xml:space="preserve">WTP-CIV-060 (FS)</x:t>
  </x:si>
  <x:si>
    <x:t xml:space="preserve">WTP-CIV-080</x:t>
  </x:si>
  <x:si>
    <x:t xml:space="preserve">3.8</x:t>
  </x:si>
  <x:si>
    <x:t xml:space="preserve">Waterproofing / Protective Coating</x:t>
  </x:si>
  <x:si>
    <x:t xml:space="preserve">WTP-CIV-070 (FS)</x:t>
  </x:si>
  <x:si>
    <x:t xml:space="preserve">WTP-CIV-090</x:t>
  </x:si>
  <x:si>
    <x:t xml:space="preserve">3.9</x:t>
  </x:si>
  <x:si>
    <x:t xml:space="preserve">Hydrostatic / Structural Water Test</x:t>
  </x:si>
  <x:si>
    <x:t xml:space="preserve">WTP-CIV-080 (FS)</x:t>
  </x:si>
  <x:si>
    <x:t xml:space="preserve">RES-010</x:t>
  </x:si>
  <x:si>
    <x:t xml:space="preserve">4.1</x:t>
  </x:si>
  <x:si>
    <x:t xml:space="preserve">Chinaimo Reservoir</x:t>
  </x:si>
  <x:si>
    <x:t xml:space="preserve">10,000 m³ Reservoir Excavation</x:t>
  </x:si>
  <x:si>
    <x:t xml:space="preserve">RES-020</x:t>
  </x:si>
  <x:si>
    <x:t xml:space="preserve">4.2</x:t>
  </x:si>
  <x:si>
    <x:t xml:space="preserve">Reservoir Foundation / Base Slab</x:t>
  </x:si>
  <x:si>
    <x:t xml:space="preserve">RES-010 (FS)</x:t>
  </x:si>
  <x:si>
    <x:t xml:space="preserve">RES-030</x:t>
  </x:si>
  <x:si>
    <x:t xml:space="preserve">4.3</x:t>
  </x:si>
  <x:si>
    <x:t xml:space="preserve">Reservoir Walls / Columns</x:t>
  </x:si>
  <x:si>
    <x:t xml:space="preserve">RES-020 (FS)</x:t>
  </x:si>
  <x:si>
    <x:t xml:space="preserve">RES-040</x:t>
  </x:si>
  <x:si>
    <x:t xml:space="preserve">4.4</x:t>
  </x:si>
  <x:si>
    <x:t xml:space="preserve">Reservoir Roof Slab</x:t>
  </x:si>
  <x:si>
    <x:t xml:space="preserve">RES-030 (FS)</x:t>
  </x:si>
  <x:si>
    <x:t xml:space="preserve">RES-050</x:t>
  </x:si>
  <x:si>
    <x:t xml:space="preserve">4.5</x:t>
  </x:si>
  <x:si>
    <x:t xml:space="preserve">Reservoir Waterproofing / Coating</x:t>
  </x:si>
  <x:si>
    <x:t xml:space="preserve">RES-040 (FS)</x:t>
  </x:si>
  <x:si>
    <x:t xml:space="preserve">RES-060</x:t>
  </x:si>
  <x:si>
    <x:t xml:space="preserve">4.6</x:t>
  </x:si>
  <x:si>
    <x:t xml:space="preserve">Reservoir Hydrostatic Test</x:t>
  </x:si>
  <x:si>
    <x:t xml:space="preserve">RES-050 (FS)</x:t>
  </x:si>
  <x:si>
    <x:t xml:space="preserve">BLDG-010</x:t>
  </x:si>
  <x:si>
    <x:t xml:space="preserve">5.1</x:t>
  </x:si>
  <x:si>
    <x:t xml:space="preserve">Buildings</x:t>
  </x:si>
  <x:si>
    <x:t xml:space="preserve">Pump Room Civil / Structural Works</x:t>
  </x:si>
  <x:si>
    <x:t xml:space="preserve">WTP-CIV-030 (SS+20d)</x:t>
  </x:si>
  <x:si>
    <x:t xml:space="preserve">BLDG-020</x:t>
  </x:si>
  <x:si>
    <x:t xml:space="preserve">5.2</x:t>
  </x:si>
  <x:si>
    <x:t xml:space="preserve">Chemical Building Civil / Architectural</x:t>
  </x:si>
  <x:si>
    <x:t xml:space="preserve">SS+30d</x:t>
  </x:si>
  <x:si>
    <x:t xml:space="preserve">WTP-CIV-030 (SS+30d)</x:t>
  </x:si>
  <x:si>
    <x:t xml:space="preserve">BLDG-030</x:t>
  </x:si>
  <x:si>
    <x:t xml:space="preserve">5.3</x:t>
  </x:si>
  <x:si>
    <x:t xml:space="preserve">Administration &amp; Laboratory Building</x:t>
  </x:si>
  <x:si>
    <x:t xml:space="preserve">BLDG-040</x:t>
  </x:si>
  <x:si>
    <x:t xml:space="preserve">5.4</x:t>
  </x:si>
  <x:si>
    <x:t xml:space="preserve">Building MEP / Architectural Finishes</x:t>
  </x:si>
  <x:si>
    <x:t xml:space="preserve">BLDG-030 (FS)</x:t>
  </x:si>
  <x:si>
    <x:t xml:space="preserve">ME-010</x:t>
  </x:si>
  <x:si>
    <x:t xml:space="preserve">6.1</x:t>
  </x:si>
  <x:si>
    <x:t xml:space="preserve">Process M&amp;E</x:t>
  </x:si>
  <x:si>
    <x:t xml:space="preserve">Process Piping Installation</x:t>
  </x:si>
  <x:si>
    <x:t xml:space="preserve">WTP-CIV-090;PROC-010</x:t>
  </x:si>
  <x:si>
    <x:t xml:space="preserve">FS;FS</x:t>
  </x:si>
  <x:si>
    <x:t xml:space="preserve">WTP-CIV-090 (FS); PROC-010 (FS)</x:t>
  </x:si>
  <x:si>
    <x:t xml:space="preserve">ME-020</x:t>
  </x:si>
  <x:si>
    <x:t xml:space="preserve">6.2</x:t>
  </x:si>
  <x:si>
    <x:t xml:space="preserve">Pumps &amp; Mechanical Equipment Installation</x:t>
  </x:si>
  <x:si>
    <x:t xml:space="preserve">BLDG-010;PROC-010</x:t>
  </x:si>
  <x:si>
    <x:t xml:space="preserve">BLDG-010 (FS); PROC-010 (FS)</x:t>
  </x:si>
  <x:si>
    <x:t xml:space="preserve">ME-030</x:t>
  </x:si>
  <x:si>
    <x:t xml:space="preserve">6.3</x:t>
  </x:si>
  <x:si>
    <x:t xml:space="preserve">Chemical Dosing Equipment Installation</x:t>
  </x:si>
  <x:si>
    <x:t xml:space="preserve">BLDG-020;PROC-010</x:t>
  </x:si>
  <x:si>
    <x:t xml:space="preserve">BLDG-020 (FS); PROC-010 (FS)</x:t>
  </x:si>
  <x:si>
    <x:t xml:space="preserve">ME-040</x:t>
  </x:si>
  <x:si>
    <x:t xml:space="preserve">6.4</x:t>
  </x:si>
  <x:si>
    <x:t xml:space="preserve">Filter Media / Underdrain Equipment</x:t>
  </x:si>
  <x:si>
    <x:t xml:space="preserve">ME-050</x:t>
  </x:si>
  <x:si>
    <x:t xml:space="preserve">6.5</x:t>
  </x:si>
  <x:si>
    <x:t xml:space="preserve">Electrical Installation / MCC / Cabling</x:t>
  </x:si>
  <x:si>
    <x:t xml:space="preserve">BLDG-010;PROC-030</x:t>
  </x:si>
  <x:si>
    <x:t xml:space="preserve">BLDG-010 (FS); PROC-030 (FS)</x:t>
  </x:si>
  <x:si>
    <x:t xml:space="preserve">ME-060</x:t>
  </x:si>
  <x:si>
    <x:t xml:space="preserve">6.6</x:t>
  </x:si>
  <x:si>
    <x:t xml:space="preserve">Instrumentation &amp; SCADA Installation</x:t>
  </x:si>
  <x:si>
    <x:t xml:space="preserve">ME-010;ME-050;PROC-020</x:t>
  </x:si>
  <x:si>
    <x:t xml:space="preserve">FS;FS;FS</x:t>
  </x:si>
  <x:si>
    <x:t xml:space="preserve">ME-010 (FS); ME-050 (FS); PROC-020 (FS)</x:t>
  </x:si>
  <x:si>
    <x:t xml:space="preserve">SAL-010</x:t>
  </x:si>
  <x:si>
    <x:t xml:space="preserve">7.1</x:t>
  </x:si>
  <x:si>
    <x:t xml:space="preserve">Salakham</x:t>
  </x:si>
  <x:si>
    <x:t xml:space="preserve">Salakham Site Preparation / Excavation</x:t>
  </x:si>
  <x:si>
    <x:t xml:space="preserve">SAL-020</x:t>
  </x:si>
  <x:si>
    <x:t xml:space="preserve">7.2</x:t>
  </x:si>
  <x:si>
    <x:t xml:space="preserve">7,100 m³ Reservoir RC Works</x:t>
  </x:si>
  <x:si>
    <x:t xml:space="preserve">SAL-010 (FS)</x:t>
  </x:si>
  <x:si>
    <x:t xml:space="preserve">SAL-030</x:t>
  </x:si>
  <x:si>
    <x:t xml:space="preserve">7.3</x:t>
  </x:si>
  <x:si>
    <x:t xml:space="preserve">Salakham Pump Room</x:t>
  </x:si>
  <x:si>
    <x:t xml:space="preserve">SAL-010 (SS+30d)</x:t>
  </x:si>
  <x:si>
    <x:t xml:space="preserve">SAL-040</x:t>
  </x:si>
  <x:si>
    <x:t xml:space="preserve">7.4</x:t>
  </x:si>
  <x:si>
    <x:t xml:space="preserve">Salakham M&amp;E Installation</x:t>
  </x:si>
  <x:si>
    <x:t xml:space="preserve">SAL-020;SAL-030;PROC-010</x:t>
  </x:si>
  <x:si>
    <x:t xml:space="preserve">SAL-020 (FS); SAL-030 (FS); PROC-010 (FS)</x:t>
  </x:si>
  <x:si>
    <x:t xml:space="preserve">PWR-010</x:t>
  </x:si>
  <x:si>
    <x:t xml:space="preserve">8.1</x:t>
  </x:si>
  <x:si>
    <x:t xml:space="preserve">Power</x:t>
  </x:si>
  <x:si>
    <x:t xml:space="preserve">22-kV Route Survey / Permits</x:t>
  </x:si>
  <x:si>
    <x:t xml:space="preserve">PREL-020 (FS)</x:t>
  </x:si>
  <x:si>
    <x:t xml:space="preserve">PWR-020</x:t>
  </x:si>
  <x:si>
    <x:t xml:space="preserve">8.2</x:t>
  </x:si>
  <x:si>
    <x:t xml:space="preserve">Pole / Foundation Works</x:t>
  </x:si>
  <x:si>
    <x:t xml:space="preserve">PWR-010 (FS)</x:t>
  </x:si>
  <x:si>
    <x:t xml:space="preserve">PWR-030</x:t>
  </x:si>
  <x:si>
    <x:t xml:space="preserve">8.3</x:t>
  </x:si>
  <x:si>
    <x:t xml:space="preserve">22-kV Line Installation</x:t>
  </x:si>
  <x:si>
    <x:t xml:space="preserve">PWR-020 (FS)</x:t>
  </x:si>
  <x:si>
    <x:t xml:space="preserve">PWR-040</x:t>
  </x:si>
  <x:si>
    <x:t xml:space="preserve">8.4</x:t>
  </x:si>
  <x:si>
    <x:t xml:space="preserve">Receiving Equipment / Energization</x:t>
  </x:si>
  <x:si>
    <x:t xml:space="preserve">PWR-030;PROC-030</x:t>
  </x:si>
  <x:si>
    <x:t xml:space="preserve">PWR-030 (FS); PROC-030 (FS)</x:t>
  </x:si>
  <x:si>
    <x:t xml:space="preserve">COMM-010</x:t>
  </x:si>
  <x:si>
    <x:t xml:space="preserve">9.1</x:t>
  </x:si>
  <x:si>
    <x:t xml:space="preserve">Commissioning</x:t>
  </x:si>
  <x:si>
    <x:t xml:space="preserve">Mechanical Pre-Commissioning</x:t>
  </x:si>
  <x:si>
    <x:t xml:space="preserve">ME-010;ME-020;ME-030;ME-040</x:t>
  </x:si>
  <x:si>
    <x:t xml:space="preserve">FS;FS;FS;FS</x:t>
  </x:si>
  <x:si>
    <x:t xml:space="preserve">ME-010 (FS); ME-020 (FS); ME-030 (FS); ME-040 (FS)</x:t>
  </x:si>
  <x:si>
    <x:t xml:space="preserve">COMM-020</x:t>
  </x:si>
  <x:si>
    <x:t xml:space="preserve">9.2</x:t>
  </x:si>
  <x:si>
    <x:t xml:space="preserve">Electrical / I&amp;C Pre-Commissioning</x:t>
  </x:si>
  <x:si>
    <x:t xml:space="preserve">ME-060;PWR-040</x:t>
  </x:si>
  <x:si>
    <x:t xml:space="preserve">ME-060 (FS); PWR-040 (FS)</x:t>
  </x:si>
  <x:si>
    <x:t xml:space="preserve">COMM-030</x:t>
  </x:si>
  <x:si>
    <x:t xml:space="preserve">9.3</x:t>
  </x:si>
  <x:si>
    <x:t xml:space="preserve">Dry Commissioning</x:t>
  </x:si>
  <x:si>
    <x:t xml:space="preserve">COMM-010;COMM-020</x:t>
  </x:si>
  <x:si>
    <x:t xml:space="preserve">COMM-010 (FS); COMM-020 (FS)</x:t>
  </x:si>
  <x:si>
    <x:t xml:space="preserve">COMM-040</x:t>
  </x:si>
  <x:si>
    <x:t xml:space="preserve">9.4</x:t>
  </x:si>
  <x:si>
    <x:t xml:space="preserve">Wet Commissioning / Process Start-Up</x:t>
  </x:si>
  <x:si>
    <x:t xml:space="preserve">COMM-030;RES-060;SAL-040</x:t>
  </x:si>
  <x:si>
    <x:t xml:space="preserve">COMM-030 (FS); RES-060 (FS); SAL-040 (FS)</x:t>
  </x:si>
  <x:si>
    <x:t xml:space="preserve">COMM-050</x:t>
  </x:si>
  <x:si>
    <x:t xml:space="preserve">9.5</x:t>
  </x:si>
  <x:si>
    <x:t xml:space="preserve">Performance / Water Quality Testing</x:t>
  </x:si>
  <x:si>
    <x:t xml:space="preserve">COMM-040 (FS)</x:t>
  </x:si>
  <x:si>
    <x:t xml:space="preserve">COMM-060</x:t>
  </x:si>
  <x:si>
    <x:t xml:space="preserve">9.6</x:t>
  </x:si>
  <x:si>
    <x:t xml:space="preserve">Punch List / Rectification</x:t>
  </x:si>
  <x:si>
    <x:t xml:space="preserve">COMM-050 (FS)</x:t>
  </x:si>
  <x:si>
    <x:t xml:space="preserve">COMM-070</x:t>
  </x:si>
  <x:si>
    <x:t xml:space="preserve">9.7</x:t>
  </x:si>
  <x:si>
    <x:t xml:space="preserve">Training / O&amp;M Documents</x:t>
  </x:si>
  <x:si>
    <x:t xml:space="preserve">COMM-040 (SS)</x:t>
  </x:si>
  <x:si>
    <x:t xml:space="preserve">COMM-080</x:t>
  </x:si>
  <x:si>
    <x:t xml:space="preserve">9.8</x:t>
  </x:si>
  <x:si>
    <x:t xml:space="preserve">Taking Over / Completion Milestone</x:t>
  </x:si>
  <x:si>
    <x:t xml:space="preserve">COMM-060;COMM-070;BLDG-040</x:t>
  </x:si>
  <x:si>
    <x:t xml:space="preserve">COMM-060 (FS); COMM-070 (FS); BLDG-040 (FS)</x:t>
  </x:si>
  <x:si>
    <x:t xml:space="preserve">MONTHLY PROGRESS REGISTER &amp; S-CURVE</x:t>
  </x:si>
  <x:si>
    <x:t xml:space="preserve">CONTROL</x:t>
  </x:si>
  <x:si>
    <x:t xml:space="preserve">VALUE</x:t>
  </x:si>
  <x:si>
    <x:t xml:space="preserve">Public / assessment status points are shown only where evidence exists. No invented monthly actuals are backfilled.</x:t>
  </x:si>
  <x:si>
    <x:t xml:space="preserve">Status date</x:t>
  </x:si>
  <x:si>
    <x:t xml:space="preserve">Assessment progress</x:t>
  </x:si>
  <x:si>
    <x:t xml:space="preserve">Period End</x:t>
  </x:si>
  <x:si>
    <x:t xml:space="preserve">Baseline Planned Cum. %</x:t>
  </x:si>
  <x:si>
    <x:t xml:space="preserve">Baseline Monthly %</x:t>
  </x:si>
  <x:si>
    <x:t xml:space="preserve">Reported / Assessment Cum. %</x:t>
  </x:si>
  <x:si>
    <x:t xml:space="preserve">Variance vs Plan (pp)</x:t>
  </x:si>
  <x:si>
    <x:t xml:space="preserve">Current Forecast Curve %</x:t>
  </x:si>
  <x:si>
    <x:t xml:space="preserve">Recovery Curve %</x:t>
  </x:si>
  <x:si>
    <x:t xml:space="preserve">Basis / Note</x:t>
  </x:si>
  <x:si>
    <x:t xml:space="preserve">Baseline finish</x:t>
  </x:si>
  <x:si>
    <x:t xml:space="preserve">Chart Month</x:t>
  </x:si>
  <x:si>
    <x:t xml:space="preserve">Current forecast finish</x:t>
  </x:si>
  <x:si>
    <x:t xml:space="preserve">Oct-25</x:t>
  </x:si>
  <x:si>
    <x:t xml:space="preserve">Recovery finish</x:t>
  </x:si>
  <x:si>
    <x:t xml:space="preserve">Nov-25</x:t>
  </x:si>
  <x:si>
    <x:t xml:space="preserve">Public checkpoint</x:t>
  </x:si>
  <x:si>
    <x:t xml:space="preserve">Dec-25</x:t>
  </x:si>
  <x:si>
    <x:t xml:space="preserve">Public checkpoint date</x:t>
  </x:si>
  <x:si>
    <x:t xml:space="preserve">Jan-26</x:t>
  </x:si>
  <x:si>
    <x:t xml:space="preserve">Chart shows assessment Baseline / Current Forecast / Recovery curves only. Reported / assessment progress remains as exact points in the table to avoid inventing monthly actuals.</x:t>
  </x:si>
  <x:si>
    <x:t xml:space="preserve">Feb-26</x:t>
  </x:si>
  <x:si>
    <x:t xml:space="preserve">Mar-26</x:t>
  </x:si>
  <x:si>
    <x:t xml:space="preserve">Apr-26</x:t>
  </x:si>
  <x:si>
    <x:t xml:space="preserve">PUBLIC: 4.19% overall progress checkpoint at 05-May-2026.</x:t>
  </x:si>
  <x:si>
    <x:t xml:space="preserve">May-26</x:t>
  </x:si>
  <x:si>
    <x:t xml:space="preserve">Jun-26</x:t>
  </x:si>
  <x:si>
    <x:t xml:space="preserve">Jul-26</x:t>
  </x:si>
  <x:si>
    <x:t xml:space="preserve">ASSESSMENT: 12.095% simulated status at 31-Aug-2026; not a claimed Kubota actual.</x:t>
  </x:si>
  <x:si>
    <x:t xml:space="preserve">Aug-26</x:t>
  </x:si>
  <x:si>
    <x:t xml:space="preserve">Sep-26</x:t>
  </x:si>
  <x:si>
    <x:t xml:space="preserve">Oct-26</x:t>
  </x:si>
  <x:si>
    <x:t xml:space="preserve">Nov-26</x:t>
  </x:si>
  <x:si>
    <x:t xml:space="preserve">Dec-26</x:t>
  </x:si>
  <x:si>
    <x:t xml:space="preserve">Jan-27</x:t>
  </x:si>
  <x:si>
    <x:t xml:space="preserve">Feb-27</x:t>
  </x:si>
  <x:si>
    <x:t xml:space="preserve">Mar-27</x:t>
  </x:si>
  <x:si>
    <x:t xml:space="preserve">Apr-27</x:t>
  </x:si>
  <x:si>
    <x:t xml:space="preserve">May-27</x:t>
  </x:si>
  <x:si>
    <x:t xml:space="preserve">Jun-27</x:t>
  </x:si>
  <x:si>
    <x:t xml:space="preserve">Jul-27</x:t>
  </x:si>
  <x:si>
    <x:t xml:space="preserve">Aug-27</x:t>
  </x:si>
  <x:si>
    <x:t xml:space="preserve">Sep-27</x:t>
  </x:si>
  <x:si>
    <x:t xml:space="preserve">Oct-27</x:t>
  </x:si>
  <x:si>
    <x:t xml:space="preserve">Nov-27</x:t>
  </x:si>
  <x:si>
    <x:t xml:space="preserve">Dec-27</x:t>
  </x:si>
  <x:si>
    <x:t xml:space="preserve">Jan-28</x:t>
  </x:si>
  <x:si>
    <x:t xml:space="preserve">Feb-28</x:t>
  </x:si>
  <x:si>
    <x:t xml:space="preserve">Boundary: the baseline curve and predecessor logic are assessment-derived demonstration controls. Only 4.19% @ 05-May-2026 is a public overall progress checkpoint; 12.095% @ 31-Aug-2026 is explicitly simulated. Native Microsoft Project governs the schedule finish dates.</x:t>
  </x:si>
</x:sst>
</file>

<file path=xl/styles.xml><?xml version="1.0" encoding="utf-8"?>
<x:styleSheet xmlns:x="http://schemas.openxmlformats.org/spreadsheetml/2006/main">
  <x:numFmts count="2">
    <x:numFmt numFmtId="164" formatCode="dd\-mmm\-yyyy"/>
    <x:numFmt numFmtId="165" formatCode="0.000%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4A5158"/>
      <x:name val="Carlito"/>
    </x:font>
    <x:font>
      <x:b/>
      <x:sz val="11"/>
      <x:color rgb="FFFFFFFF"/>
      <x:name val="Carlito"/>
    </x:font>
    <x:font>
      <x:i/>
      <x:sz val="11"/>
      <x:color rgb="FF4A5158"/>
      <x:name val="Carlito"/>
    </x:font>
    <x:font>
      <x:b/>
      <x:sz val="14"/>
      <x:color rgb="FFFFFFFF"/>
      <x:name val="Carlito"/>
    </x:font>
    <x:font>
      <x:sz val="14"/>
      <x:name val="Carlito"/>
    </x:font>
    <x:font>
      <x:sz val="12"/>
      <x:color rgb="FF4A5158"/>
      <x:name val="Carlito"/>
    </x:font>
    <x:font>
      <x:sz val="11"/>
      <x:color rgb="FF4A515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B49"/>
      </x:patternFill>
    </x:fill>
    <x:fill>
      <x:patternFill patternType="solid">
        <x:fgColor rgb="FFF6F4EF"/>
      </x:patternFill>
    </x:fill>
  </x:fills>
  <x:borders count="1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2" fillId="3" borderId="0" xfId="0" applyFont="1" applyFill="1" applyAlignment="1">
      <x:alignment vertical="top" wrapText="1"/>
    </x:xf>
    <x:xf numFmtId="0" fontId="4" fillId="0" borderId="0" xfId="0" applyFont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6" fillId="0" borderId="0" xfId="0" applyFont="1"/>
    <x:xf numFmtId="0" fontId="5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wrapText="1"/>
    </x:xf>
    <x:xf numFmtId="0" fontId="0" fillId="0" borderId="1" xfId="0" applyBorder="1" applyAlignment="1">
      <x:alignment wrapText="1"/>
    </x:xf>
    <x:xf numFmtId="164" fontId="0" fillId="0" borderId="1" xfId="0" applyNumberFormat="1" applyBorder="1" applyAlignment="1">
      <x:alignment horizontal="center" wrapText="1"/>
    </x:xf>
    <x:xf numFmtId="0" fontId="7" fillId="3" borderId="0" xfId="0" applyFont="1" applyFill="1" applyAlignment="1">
      <x:alignment vertical="top" wrapText="1"/>
    </x:xf>
    <x:xf numFmtId="0" fontId="0" fillId="0" borderId="0" xfId="0" applyAlignment="1">
      <x:alignment horizontal="center"/>
    </x:xf>
    <x:xf numFmtId="0" fontId="5" fillId="2" borderId="2" xfId="0" applyFont="1" applyFill="1" applyBorder="1" applyAlignment="1">
      <x:alignment horizontal="center" vertical="center" wrapText="1"/>
    </x:xf>
    <x:xf numFmtId="0" fontId="5" fillId="2" borderId="3" xfId="0" applyFont="1" applyFill="1" applyBorder="1" applyAlignment="1">
      <x:alignment horizontal="center" vertical="center" wrapText="1"/>
    </x:xf>
    <x:xf numFmtId="0" fontId="5" fillId="2" borderId="4" xfId="0" applyFont="1" applyFill="1" applyBorder="1" applyAlignment="1">
      <x:alignment horizontal="center" vertical="center" wrapText="1"/>
    </x:xf>
    <x:xf numFmtId="0" fontId="0" fillId="0" borderId="5" xfId="0" applyBorder="1" applyAlignment="1">
      <x:alignment wrapText="1"/>
    </x:xf>
    <x:xf numFmtId="0" fontId="0" fillId="0" borderId="6" xfId="0" applyBorder="1" applyAlignment="1">
      <x:alignment horizontal="center" wrapText="1"/>
    </x:xf>
    <x:xf numFmtId="0" fontId="0" fillId="0" borderId="7" xfId="0" applyBorder="1" applyAlignment="1">
      <x:alignment wrapText="1"/>
    </x:xf>
    <x:xf numFmtId="0" fontId="0" fillId="0" borderId="8" xfId="0" applyBorder="1" applyAlignment="1">
      <x:alignment wrapText="1"/>
    </x:xf>
    <x:xf numFmtId="0" fontId="0" fillId="0" borderId="8" xfId="0" applyBorder="1" applyAlignment="1">
      <x:alignment horizontal="center" wrapText="1"/>
    </x:xf>
    <x:xf numFmtId="0" fontId="0" fillId="0" borderId="9" xfId="0" applyBorder="1" applyAlignment="1">
      <x:alignment horizontal="center" wrapText="1"/>
    </x:xf>
    <x:xf numFmtId="0" fontId="0" fillId="0" borderId="1" xfId="0" applyBorder="1"/>
    <x:xf numFmtId="164" fontId="0" fillId="0" borderId="8" xfId="0" applyNumberFormat="1" applyBorder="1" applyAlignment="1">
      <x:alignment horizont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8" fillId="3" borderId="0" xfId="0" applyFont="1" applyFill="1" applyAlignment="1">
      <x:alignment vertical="top" wrapText="1"/>
    </x:xf>
    <x:xf numFmtId="0" fontId="0" fillId="0" borderId="6" xfId="0" applyBorder="1" applyAlignment="1">
      <x:alignment wrapText="1"/>
    </x:xf>
    <x:xf numFmtId="0" fontId="0" fillId="0" borderId="9" xfId="0" applyBorder="1" applyAlignment="1">
      <x:alignment wrapText="1"/>
    </x:xf>
    <x:xf numFmtId="165" fontId="0" fillId="0" borderId="1" xfId="0" applyNumberFormat="1" applyBorder="1" applyAlignment="1">
      <x:alignment horizontal="center"/>
    </x:xf>
    <x:xf numFmtId="165" fontId="0" fillId="0" borderId="8" xfId="0" applyNumberFormat="1" applyBorder="1" applyAlignment="1">
      <x:alignment horizontal="center"/>
    </x:xf>
    <x:xf numFmtId="164" fontId="0" fillId="0" borderId="5" xfId="0" applyNumberFormat="1" applyBorder="1" applyAlignment="1">
      <x:alignment horizontal="center"/>
    </x:xf>
    <x:xf numFmtId="164" fontId="0" fillId="0" borderId="7" xfId="0" applyNumberFormat="1" applyBorder="1" applyAlignment="1">
      <x:alignment horizontal="center"/>
    </x:xf>
    <x:xf numFmtId="164" fontId="0" fillId="0" borderId="1" xfId="0" applyNumberFormat="1" applyBorder="1" applyAlignment="1">
      <x:alignment horizontal="center"/>
    </x:xf>
    <x:xf numFmtId="10" fontId="0" fillId="0" borderId="1" xfId="0" applyNumberFormat="1" applyBorder="1" applyAlignment="1">
      <x:alignment horizontal="center"/>
    </x:xf>
  </x:cellXfs>
  <x:cellStyles count="1">
    <x:cellStyle name="Normal" xfId="0"/>
  </x:cellStyles>
  <x:dxfs count="29"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4"/>
        <x:color rgb="FFFFFFFF"/>
        <x:name val="Carlito"/>
        <x:scheme val="none"/>
      </x:font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4"/>
        <x:name val="Carlito"/>
        <x:scheme val="none"/>
      </x:font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3a0f177c945b9" /><Relationship Type="http://schemas.openxmlformats.org/officeDocument/2006/relationships/theme" Target="/xl/theme/theme1.xml" Id="R93ea787771bc4376" /><Relationship Type="http://schemas.openxmlformats.org/officeDocument/2006/relationships/sharedStrings" Target="/xl/sharedStrings.xml" Id="R53e3ecba6a9848c5" /><Relationship Type="http://schemas.openxmlformats.org/officeDocument/2006/relationships/worksheet" Target="/xl/worksheets/sheet1.xml" Id="R64baef5664aa47de" /><Relationship Type="http://schemas.openxmlformats.org/officeDocument/2006/relationships/worksheet" Target="/xl/worksheets/sheet2.xml" Id="R1e58d1aad64542e9" /><Relationship Type="http://schemas.openxmlformats.org/officeDocument/2006/relationships/worksheet" Target="/xl/worksheets/sheet3.xml" Id="R68118ddc929342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a26d30ec584e2c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8194573796555002"/>
          <c:y val="0.025593636894973192"/>
          <c:w val="0.8973775623477173"/>
          <c:h val="0.8932965588844963"/>
        </c:manualLayout>
      </c:layout>
      <c:lineChart>
        <c:grouping val="standard"/>
        <c:varyColors val="0"/>
        <c:ser>
          <c:idx val="0"/>
          <c:order val="0"/>
          <c:tx>
            <c:v>Baseline Planned</c:v>
          </c:tx>
          <c:marker>
            <c:symbol val="none"/>
          </c:marker>
          <c:cat>
            <c:strRef>
              <c:f>'02_MONTHLY_S_CURVE'!$U$5:$U$33</c:f>
              <c:strCache>
                <c:ptCount val="29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  <c:pt idx="12">
                  <c:v>Oct-26</c:v>
                </c:pt>
                <c:pt idx="13">
                  <c:v>Nov-26</c:v>
                </c:pt>
                <c:pt idx="14">
                  <c:v>Dec-26</c:v>
                </c:pt>
                <c:pt idx="15">
                  <c:v>Jan-27</c:v>
                </c:pt>
                <c:pt idx="16">
                  <c:v>Feb-27</c:v>
                </c:pt>
                <c:pt idx="17">
                  <c:v>Mar-27</c:v>
                </c:pt>
                <c:pt idx="18">
                  <c:v>Apr-27</c:v>
                </c:pt>
                <c:pt idx="19">
                  <c:v>May-27</c:v>
                </c:pt>
                <c:pt idx="20">
                  <c:v>Jun-27</c:v>
                </c:pt>
                <c:pt idx="21">
                  <c:v>Jul-27</c:v>
                </c:pt>
                <c:pt idx="22">
                  <c:v>Aug-27</c:v>
                </c:pt>
                <c:pt idx="23">
                  <c:v>Sep-27</c:v>
                </c:pt>
                <c:pt idx="24">
                  <c:v>Oct-27</c:v>
                </c:pt>
                <c:pt idx="25">
                  <c:v>Nov-27</c:v>
                </c:pt>
                <c:pt idx="26">
                  <c:v>Dec-27</c:v>
                </c:pt>
                <c:pt idx="27">
                  <c:v>Jan-28</c:v>
                </c:pt>
                <c:pt idx="28">
                  <c:v>Feb-28</c:v>
                </c:pt>
              </c:strCache>
            </c:strRef>
          </c:cat>
          <c:val>
            <c:numRef>
              <c:f>'02_MONTHLY_S_CURVE'!$B$5:$B$33</c:f>
              <c:numCache>
                <c:formatCode>0.000%</c:formatCode>
                <c:ptCount val="29"/>
                <c:pt idx="0">
                  <c:v>0.01</c:v>
                </c:pt>
                <c:pt idx="1">
                  <c:v>0.025</c:v>
                </c:pt>
                <c:pt idx="2">
                  <c:v>0.045</c:v>
                </c:pt>
                <c:pt idx="3">
                  <c:v>0.07</c:v>
                </c:pt>
                <c:pt idx="4">
                  <c:v>0.1</c:v>
                </c:pt>
                <c:pt idx="5">
                  <c:v>0.14</c:v>
                </c:pt>
                <c:pt idx="6">
                  <c:v>0.18</c:v>
                </c:pt>
                <c:pt idx="7">
                  <c:v>0.23</c:v>
                </c:pt>
                <c:pt idx="8">
                  <c:v>0.29</c:v>
                </c:pt>
                <c:pt idx="9">
                  <c:v>0.35</c:v>
                </c:pt>
                <c:pt idx="10">
                  <c:v>0.41</c:v>
                </c:pt>
                <c:pt idx="11">
                  <c:v>0.47</c:v>
                </c:pt>
                <c:pt idx="12">
                  <c:v>0.53</c:v>
                </c:pt>
                <c:pt idx="13">
                  <c:v>0.59</c:v>
                </c:pt>
                <c:pt idx="14">
                  <c:v>0.65</c:v>
                </c:pt>
                <c:pt idx="15">
                  <c:v>0.71</c:v>
                </c:pt>
                <c:pt idx="16">
                  <c:v>0.76</c:v>
                </c:pt>
                <c:pt idx="17">
                  <c:v>0.81</c:v>
                </c:pt>
                <c:pt idx="18">
                  <c:v>0.86</c:v>
                </c:pt>
                <c:pt idx="19">
                  <c:v>0.9</c:v>
                </c:pt>
                <c:pt idx="20">
                  <c:v>0.93</c:v>
                </c:pt>
                <c:pt idx="21">
                  <c:v>0.95</c:v>
                </c:pt>
                <c:pt idx="22">
                  <c:v>0.97</c:v>
                </c:pt>
                <c:pt idx="23">
                  <c:v>0.985</c:v>
                </c:pt>
                <c:pt idx="24">
                  <c:v>0.993</c:v>
                </c:pt>
                <c:pt idx="25">
                  <c:v>0.997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ser>
          <c:idx val="1"/>
          <c:order val="1"/>
          <c:tx>
            <c:v>Current Forecast</c:v>
          </c:tx>
          <c:marker>
            <c:symbol val="none"/>
          </c:marker>
          <c:cat>
            <c:strRef>
              <c:f>'02_MONTHLY_S_CURVE'!$U$5:$U$33</c:f>
              <c:strCache>
                <c:ptCount val="29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  <c:pt idx="12">
                  <c:v>Oct-26</c:v>
                </c:pt>
                <c:pt idx="13">
                  <c:v>Nov-26</c:v>
                </c:pt>
                <c:pt idx="14">
                  <c:v>Dec-26</c:v>
                </c:pt>
                <c:pt idx="15">
                  <c:v>Jan-27</c:v>
                </c:pt>
                <c:pt idx="16">
                  <c:v>Feb-27</c:v>
                </c:pt>
                <c:pt idx="17">
                  <c:v>Mar-27</c:v>
                </c:pt>
                <c:pt idx="18">
                  <c:v>Apr-27</c:v>
                </c:pt>
                <c:pt idx="19">
                  <c:v>May-27</c:v>
                </c:pt>
                <c:pt idx="20">
                  <c:v>Jun-27</c:v>
                </c:pt>
                <c:pt idx="21">
                  <c:v>Jul-27</c:v>
                </c:pt>
                <c:pt idx="22">
                  <c:v>Aug-27</c:v>
                </c:pt>
                <c:pt idx="23">
                  <c:v>Sep-27</c:v>
                </c:pt>
                <c:pt idx="24">
                  <c:v>Oct-27</c:v>
                </c:pt>
                <c:pt idx="25">
                  <c:v>Nov-27</c:v>
                </c:pt>
                <c:pt idx="26">
                  <c:v>Dec-27</c:v>
                </c:pt>
                <c:pt idx="27">
                  <c:v>Jan-28</c:v>
                </c:pt>
                <c:pt idx="28">
                  <c:v>Feb-28</c:v>
                </c:pt>
              </c:strCache>
            </c:strRef>
          </c:cat>
          <c:val>
            <c:numRef>
              <c:f>'02_MONTHLY_S_CURVE'!$F$5:$F$33</c:f>
              <c:numCache>
                <c:formatCode>0.000%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0.12095</c:v>
                </c:pt>
                <c:pt idx="11">
                  <c:v>0.12620216549480595</c:v>
                </c:pt>
                <c:pt idx="12">
                  <c:v>0.14196576424985946</c:v>
                </c:pt>
                <c:pt idx="13">
                  <c:v>0.16621462510807</c:v>
                </c:pt>
                <c:pt idx="14">
                  <c:v>0.19951107580097677</c:v>
                </c:pt>
                <c:pt idx="15">
                  <c:v>0.2401103453756162</c:v>
                </c:pt>
                <c:pt idx="16">
                  <c:v>0.2821565874530683</c:v>
                </c:pt>
                <c:pt idx="17">
                  <c:v>0.3336621813832634</c:v>
                </c:pt>
                <c:pt idx="18">
                  <c:v>0.3874764253471786</c:v>
                </c:pt>
                <c:pt idx="19">
                  <c:v>0.4461326726167334</c:v>
                </c:pt>
                <c:pt idx="20">
                  <c:v>0.5048374843887407</c:v>
                </c:pt>
                <c:pt idx="21">
                  <c:v>0.5664502517889922</c:v>
                </c:pt>
                <c:pt idx="22">
                  <c:v>0.6279581940378315</c:v>
                </c:pt>
                <c:pt idx="23">
                  <c:v>0.6863619471023481</c:v>
                </c:pt>
                <c:pt idx="24">
                  <c:v>0.744500831527835</c:v>
                </c:pt>
                <c:pt idx="25">
                  <c:v>0.7976147867591097</c:v>
                </c:pt>
                <c:pt idx="26">
                  <c:v>0.8481904801525816</c:v>
                </c:pt>
                <c:pt idx="27">
                  <c:v>0.8933152656726071</c:v>
                </c:pt>
                <c:pt idx="28">
                  <c:v>0.9296344960756731</c:v>
                </c:pt>
              </c:numCache>
            </c:numRef>
          </c:val>
        </c:ser>
        <c:ser>
          <c:idx val="2"/>
          <c:order val="2"/>
          <c:tx>
            <c:v>Partial Recovery</c:v>
          </c:tx>
          <c:marker>
            <c:symbol val="none"/>
          </c:marker>
          <c:cat>
            <c:strRef>
              <c:f>'02_MONTHLY_S_CURVE'!$U$5:$U$33</c:f>
              <c:strCache>
                <c:ptCount val="29"/>
                <c:pt idx="0">
                  <c:v>Oct-25</c:v>
                </c:pt>
                <c:pt idx="1">
                  <c:v>Nov-25</c:v>
                </c:pt>
                <c:pt idx="2">
                  <c:v>Dec-25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  <c:pt idx="12">
                  <c:v>Oct-26</c:v>
                </c:pt>
                <c:pt idx="13">
                  <c:v>Nov-26</c:v>
                </c:pt>
                <c:pt idx="14">
                  <c:v>Dec-26</c:v>
                </c:pt>
                <c:pt idx="15">
                  <c:v>Jan-27</c:v>
                </c:pt>
                <c:pt idx="16">
                  <c:v>Feb-27</c:v>
                </c:pt>
                <c:pt idx="17">
                  <c:v>Mar-27</c:v>
                </c:pt>
                <c:pt idx="18">
                  <c:v>Apr-27</c:v>
                </c:pt>
                <c:pt idx="19">
                  <c:v>May-27</c:v>
                </c:pt>
                <c:pt idx="20">
                  <c:v>Jun-27</c:v>
                </c:pt>
                <c:pt idx="21">
                  <c:v>Jul-27</c:v>
                </c:pt>
                <c:pt idx="22">
                  <c:v>Aug-27</c:v>
                </c:pt>
                <c:pt idx="23">
                  <c:v>Sep-27</c:v>
                </c:pt>
                <c:pt idx="24">
                  <c:v>Oct-27</c:v>
                </c:pt>
                <c:pt idx="25">
                  <c:v>Nov-27</c:v>
                </c:pt>
                <c:pt idx="26">
                  <c:v>Dec-27</c:v>
                </c:pt>
                <c:pt idx="27">
                  <c:v>Jan-28</c:v>
                </c:pt>
                <c:pt idx="28">
                  <c:v>Feb-28</c:v>
                </c:pt>
              </c:strCache>
            </c:strRef>
          </c:cat>
          <c:val>
            <c:numRef>
              <c:f>'02_MONTHLY_S_CURVE'!$G$5:$G$33</c:f>
              <c:numCache>
                <c:formatCode>0.000%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0.12095</c:v>
                </c:pt>
                <c:pt idx="11">
                  <c:v>0.1274934720403098</c:v>
                </c:pt>
                <c:pt idx="12">
                  <c:v>0.14702615977087286</c:v>
                </c:pt>
                <c:pt idx="13">
                  <c:v>0.1768767470820344</c:v>
                </c:pt>
                <c:pt idx="14">
                  <c:v>0.2175610683651203</c:v>
                </c:pt>
                <c:pt idx="15">
                  <c:v>0.26674702238906367</c:v>
                </c:pt>
                <c:pt idx="16">
                  <c:v>0.3172204947829588</c:v>
                </c:pt>
                <c:pt idx="17">
                  <c:v>0.37840235662867944</c:v>
                </c:pt>
                <c:pt idx="18">
                  <c:v>0.441533896896377</c:v>
                </c:pt>
                <c:pt idx="19">
                  <c:v>0.5093496801744798</c:v>
                </c:pt>
                <c:pt idx="20">
                  <c:v>0.5760633519309113</c:v>
                </c:pt>
                <c:pt idx="21">
                  <c:v>0.6446482855200149</c:v>
                </c:pt>
                <c:pt idx="22">
                  <c:v>0.7113765406944484</c:v>
                </c:pt>
                <c:pt idx="23">
                  <c:v>0.7727578165877276</c:v>
                </c:pt>
                <c:pt idx="24">
                  <c:v>0.8314099934966525</c:v>
                </c:pt>
                <c:pt idx="25">
                  <c:v>0.8821379173000612</c:v>
                </c:pt>
                <c:pt idx="26">
                  <c:v>0.9268492448220959</c:v>
                </c:pt>
                <c:pt idx="27">
                  <c:v>0.9622283203125</c:v>
                </c:pt>
                <c:pt idx="28">
                  <c:v>0.9855345797290705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LblSkip val="3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a26d30ec584e2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heduleLogicTable" displayName="ScheduleLogicTable" ref="A4:L53" totalsRowShown="0" headerRowBorderDxfId="26">
  <x:tableColumns count="12">
    <x:tableColumn id="1" name="Activity ID" dataDxfId="24"/>
    <x:tableColumn id="2" name="WBS" dataDxfId="23"/>
    <x:tableColumn id="3" name="Workstream" dataDxfId="22"/>
    <x:tableColumn id="4" name="Activity Name" dataDxfId="21"/>
    <x:tableColumn id="5" name="Duration (wd)" dataDxfId="20"/>
    <x:tableColumn id="6" name="Predecessor ID(s)" dataDxfId="19"/>
    <x:tableColumn id="7" name="Relationship(s)" dataDxfId="18"/>
    <x:tableColumn id="8" name="Readable Logic" dataDxfId="17"/>
    <x:tableColumn id="9" name="Baseline Start" dataDxfId="13"/>
    <x:tableColumn id="10" name="Baseline Finish" dataDxfId="12"/>
    <x:tableColumn id="11" name="Total Slack (wd)" dataDxfId="16"/>
    <x:tableColumn id="12" name="Critical?" dataDxfId="1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SCurveTable" displayName="MonthlySCurveTable" ref="A4:H33" totalsRowShown="0" headerRowBorderDxfId="10">
  <x:tableColumns count="8">
    <x:tableColumn id="1" name="Period End" dataDxfId="0"/>
    <x:tableColumn id="2" name="Baseline Planned Cum. %" dataDxfId="2"/>
    <x:tableColumn id="3" name="Baseline Monthly %" dataDxfId="1"/>
    <x:tableColumn id="4" name="Reported / Assessment Cum. %" dataDxfId="6"/>
    <x:tableColumn id="5" name="Variance vs Plan (pp)" dataDxfId="5"/>
    <x:tableColumn id="6" name="Current Forecast Curve %" dataDxfId="4"/>
    <x:tableColumn id="7" name="Recovery Curve %" dataDxfId="3"/>
    <x:tableColumn id="8" name="Basis / Note" dataDxfId="8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52beeb677c45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1e0884a465844e0" /><Relationship Type="http://schemas.openxmlformats.org/officeDocument/2006/relationships/table" Target="/xl/tables/table2.xml" Id="Rb3783af85eb6493c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26" customWidth="1"/>
    <x:col min="2" max="2" width="48" customWidth="1"/>
    <x:col min="3" max="6" width="22" customWidth="1"/>
  </x:cols>
  <x:sheetData>
    <x:row r="1" ht="25.049999237060547" customHeight="1">
      <x:c r="A1" s="3" t="s">
        <x:v>0</x:v>
      </x:c>
      <x:c r="B1" s="3"/>
      <x:c r="C1" s="3"/>
      <x:c r="D1" s="3"/>
      <x:c r="E1" s="3"/>
      <x:c r="F1" s="3"/>
    </x:row>
    <x:row r="2" ht="22.350000381469727" customHeight="1">
      <x:c r="A2" s="1" t="s">
        <x:v>1</x:v>
      </x:c>
      <x:c r="B2" s="1"/>
      <x:c r="C2" s="1"/>
      <x:c r="D2" s="1"/>
      <x:c r="E2" s="1"/>
      <x:c r="F2" s="1"/>
    </x:row>
    <x:row r="4" s="4" customFormat="1" ht="25.049999237060547" customHeight="1">
      <x:c r="A4" s="5" t="s">
        <x:v>2</x:v>
      </x:c>
      <x:c r="B4" s="5" t="s">
        <x:v>3</x:v>
      </x:c>
    </x:row>
    <x:row r="5" ht="19.950000762939453" customHeight="1">
      <x:c r="A5" s="7" t="s">
        <x:v>4</x:v>
      </x:c>
      <x:c r="B5" s="8">
        <x:v>45931</x:v>
      </x:c>
    </x:row>
    <x:row r="6" ht="19.950000762939453" customHeight="1">
      <x:c r="A6" s="7" t="s">
        <x:v>5</x:v>
      </x:c>
      <x:c r="B6" s="8">
        <x:v>46798</x:v>
      </x:c>
    </x:row>
    <x:row r="7" ht="19.950000762939453" customHeight="1">
      <x:c r="A7" s="7" t="s">
        <x:v>6</x:v>
      </x:c>
      <x:c r="B7" s="8">
        <x:v>46265</x:v>
      </x:c>
    </x:row>
    <x:row r="8" ht="19.950000762939453" customHeight="1">
      <x:c r="A8" s="7" t="s">
        <x:v>7</x:v>
      </x:c>
      <x:c r="B8" s="8">
        <x:v>46927</x:v>
      </x:c>
    </x:row>
    <x:row r="9" ht="19.950000762939453" customHeight="1">
      <x:c r="A9" s="7" t="s">
        <x:v>8</x:v>
      </x:c>
      <x:c r="B9" s="8">
        <x:v>46857</x:v>
      </x:c>
    </x:row>
    <x:row r="10" ht="19.950000762939453" customHeight="1">
      <x:c r="A10" s="7" t="s">
        <x:v>9</x:v>
      </x:c>
      <x:c r="B10" s="7" t="s">
        <x:v>10</x:v>
      </x:c>
    </x:row>
    <x:row r="11" ht="28.799999237060547">
      <x:c r="A11" s="7" t="s">
        <x:v>11</x:v>
      </x:c>
      <x:c r="B11" s="7" t="s">
        <x:v>12</x:v>
      </x:c>
    </x:row>
    <x:row r="13" s="4" customFormat="1" ht="25.049999237060547" customHeight="1">
      <x:c r="A13" s="5" t="s">
        <x:v>13</x:v>
      </x:c>
      <x:c r="B13" s="5" t="s">
        <x:v>14</x:v>
      </x:c>
    </x:row>
    <x:row r="14" ht="19.950000762939453" customHeight="1">
      <x:c r="A14" s="6" t="s">
        <x:v>15</x:v>
      </x:c>
      <x:c r="B14" s="7" t="s">
        <x:v>16</x:v>
      </x:c>
    </x:row>
    <x:row r="15" ht="19.950000762939453" customHeight="1">
      <x:c r="A15" s="6" t="s">
        <x:v>17</x:v>
      </x:c>
      <x:c r="B15" s="7" t="s">
        <x:v>18</x:v>
      </x:c>
    </x:row>
    <x:row r="16" ht="19.950000762939453" customHeight="1">
      <x:c r="A16" s="6" t="s">
        <x:v>19</x:v>
      </x:c>
      <x:c r="B16" s="7" t="s">
        <x:v>20</x:v>
      </x:c>
    </x:row>
    <x:row r="17" ht="28.799999237060547">
      <x:c r="A17" s="6" t="s">
        <x:v>21</x:v>
      </x:c>
      <x:c r="B17" s="7" t="s">
        <x:v>22</x:v>
      </x:c>
    </x:row>
    <x:row r="18" ht="43.20000076293945">
      <x:c r="A18" s="6" t="s">
        <x:v>23</x:v>
      </x:c>
      <x:c r="B18" s="7" t="s">
        <x:v>24</x:v>
      </x:c>
    </x:row>
    <x:row r="20" ht="19.200000762939453" customHeight="1">
      <x:c r="A20" s="9" t="s">
        <x:v>25</x:v>
      </x:c>
      <x:c r="B20" s="9"/>
      <x:c r="C20" s="9"/>
      <x:c r="D20" s="9"/>
      <x:c r="E20" s="9"/>
      <x:c r="F20" s="9"/>
    </x:row>
    <x:row r="21" ht="19.200000762939453" customHeight="1">
      <x:c r="A21" s="9"/>
      <x:c r="B21" s="9"/>
      <x:c r="C21" s="9"/>
      <x:c r="D21" s="9"/>
      <x:c r="E21" s="9"/>
      <x:c r="F21" s="9"/>
    </x:row>
    <x:row r="22" ht="19.200000762939453" customHeight="1">
      <x:c r="A22" s="9"/>
      <x:c r="B22" s="9"/>
      <x:c r="C22" s="9"/>
      <x:c r="D22" s="9"/>
      <x:c r="E22" s="9"/>
      <x:c r="F22" s="9"/>
    </x:row>
  </x:sheetData>
  <x:mergeCells>
    <x:mergeCell ref="A1:F1"/>
    <x:mergeCell ref="A2:F2"/>
    <x:mergeCell ref="A20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4" customWidth="1"/>
    <x:col min="2" max="2" width="9" customWidth="1"/>
    <x:col min="3" max="3" width="20" customWidth="1"/>
    <x:col min="4" max="4" width="38" customWidth="1"/>
    <x:col min="5" max="5" width="13" style="10" customWidth="1"/>
    <x:col min="6" max="6" width="28" style="10" customWidth="1"/>
    <x:col min="7" max="7" width="18" style="10" customWidth="1"/>
    <x:col min="8" max="8" width="36" style="10" customWidth="1"/>
    <x:col min="9" max="11" width="14" style="10" customWidth="1"/>
    <x:col min="12" max="12" width="10" style="10" customWidth="1"/>
  </x:cols>
  <x:sheetData>
    <x:row r="1" ht="25.049999237060547" customHeight="1">
      <x:c r="A1" s="3" t="s">
        <x:v>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.649999618530273" customHeight="1">
      <x:c r="A2" s="1" t="s">
        <x:v>27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s="4" customFormat="1" ht="34.95000076293945" customHeight="1">
      <x:c r="A4" s="11" t="s">
        <x:v>28</x:v>
      </x:c>
      <x:c r="B4" s="12" t="s">
        <x:v>29</x:v>
      </x:c>
      <x:c r="C4" s="12" t="s">
        <x:v>30</x:v>
      </x:c>
      <x:c r="D4" s="12" t="s">
        <x:v>31</x:v>
      </x:c>
      <x:c r="E4" s="12" t="s">
        <x:v>32</x:v>
      </x:c>
      <x:c r="F4" s="12" t="s">
        <x:v>33</x:v>
      </x:c>
      <x:c r="G4" s="12" t="s">
        <x:v>34</x:v>
      </x:c>
      <x:c r="H4" s="12" t="s">
        <x:v>35</x:v>
      </x:c>
      <x:c r="I4" s="12" t="s">
        <x:v>36</x:v>
      </x:c>
      <x:c r="J4" s="12" t="s">
        <x:v>37</x:v>
      </x:c>
      <x:c r="K4" s="12" t="s">
        <x:v>38</x:v>
      </x:c>
      <x:c r="L4" s="13" t="s">
        <x:v>39</x:v>
      </x:c>
    </x:row>
    <x:row r="5" ht="25.049999237060547" customHeight="1">
      <x:c r="A5" s="14" t="s">
        <x:v>40</x:v>
      </x:c>
      <x:c r="B5" s="7" t="s">
        <x:v>41</x:v>
      </x:c>
      <x:c r="C5" s="7" t="s">
        <x:v>42</x:v>
      </x:c>
      <x:c r="D5" s="7" t="s">
        <x:v>43</x:v>
      </x:c>
      <x:c r="E5" s="6">
        <x:v>0</x:v>
      </x:c>
      <x:c r="F5" s="6"/>
      <x:c r="G5" s="6"/>
      <x:c r="H5" s="6" t="s">
        <x:v>44</x:v>
      </x:c>
      <x:c r="I5" s="8">
        <x:v>45931</x:v>
      </x:c>
      <x:c r="J5" s="8">
        <x:v>45931</x:v>
      </x:c>
      <x:c r="K5" s="6">
        <x:v>0</x:v>
      </x:c>
      <x:c r="L5" s="15" t="s">
        <x:v>45</x:v>
      </x:c>
    </x:row>
    <x:row r="6" ht="25.049999237060547" customHeight="1">
      <x:c r="A6" s="14" t="s">
        <x:v>46</x:v>
      </x:c>
      <x:c r="B6" s="7" t="s">
        <x:v>47</x:v>
      </x:c>
      <x:c r="C6" s="7" t="s">
        <x:v>42</x:v>
      </x:c>
      <x:c r="D6" s="7" t="s">
        <x:v>48</x:v>
      </x:c>
      <x:c r="E6" s="6">
        <x:v>20</x:v>
      </x:c>
      <x:c r="F6" s="6" t="s">
        <x:v>40</x:v>
      </x:c>
      <x:c r="G6" s="6" t="s">
        <x:v>15</x:v>
      </x:c>
      <x:c r="H6" s="6" t="s">
        <x:v>49</x:v>
      </x:c>
      <x:c r="I6" s="8">
        <x:v>45931</x:v>
      </x:c>
      <x:c r="J6" s="8">
        <x:v>45953</x:v>
      </x:c>
      <x:c r="K6" s="6">
        <x:v>0</x:v>
      </x:c>
      <x:c r="L6" s="15" t="s">
        <x:v>45</x:v>
      </x:c>
    </x:row>
    <x:row r="7" ht="25.049999237060547" customHeight="1">
      <x:c r="A7" s="14" t="s">
        <x:v>50</x:v>
      </x:c>
      <x:c r="B7" s="7" t="s">
        <x:v>51</x:v>
      </x:c>
      <x:c r="C7" s="7" t="s">
        <x:v>42</x:v>
      </x:c>
      <x:c r="D7" s="7" t="s">
        <x:v>52</x:v>
      </x:c>
      <x:c r="E7" s="6">
        <x:v>15</x:v>
      </x:c>
      <x:c r="F7" s="6" t="s">
        <x:v>46</x:v>
      </x:c>
      <x:c r="G7" s="6" t="s">
        <x:v>19</x:v>
      </x:c>
      <x:c r="H7" s="6" t="s">
        <x:v>53</x:v>
      </x:c>
      <x:c r="I7" s="8">
        <x:v>45937</x:v>
      </x:c>
      <x:c r="J7" s="8">
        <x:v>45953</x:v>
      </x:c>
      <x:c r="K7" s="6">
        <x:v>0</x:v>
      </x:c>
      <x:c r="L7" s="15" t="s">
        <x:v>45</x:v>
      </x:c>
    </x:row>
    <x:row r="8" ht="25.049999237060547" customHeight="1">
      <x:c r="A8" s="14" t="s">
        <x:v>54</x:v>
      </x:c>
      <x:c r="B8" s="7" t="s">
        <x:v>55</x:v>
      </x:c>
      <x:c r="C8" s="7" t="s">
        <x:v>56</x:v>
      </x:c>
      <x:c r="D8" s="7" t="s">
        <x:v>57</x:v>
      </x:c>
      <x:c r="E8" s="6">
        <x:v>30</x:v>
      </x:c>
      <x:c r="F8" s="6" t="s">
        <x:v>40</x:v>
      </x:c>
      <x:c r="G8" s="6" t="s">
        <x:v>15</x:v>
      </x:c>
      <x:c r="H8" s="6" t="s">
        <x:v>49</x:v>
      </x:c>
      <x:c r="I8" s="8">
        <x:v>45931</x:v>
      </x:c>
      <x:c r="J8" s="8">
        <x:v>45965</x:v>
      </x:c>
      <x:c r="K8" s="6">
        <x:v>64</x:v>
      </x:c>
      <x:c r="L8" s="15" t="s">
        <x:v>58</x:v>
      </x:c>
    </x:row>
    <x:row r="9" ht="25.049999237060547" customHeight="1">
      <x:c r="A9" s="14" t="s">
        <x:v>59</x:v>
      </x:c>
      <x:c r="B9" s="7" t="s">
        <x:v>60</x:v>
      </x:c>
      <x:c r="C9" s="7" t="s">
        <x:v>56</x:v>
      </x:c>
      <x:c r="D9" s="7" t="s">
        <x:v>61</x:v>
      </x:c>
      <x:c r="E9" s="6">
        <x:v>45</x:v>
      </x:c>
      <x:c r="F9" s="6" t="s">
        <x:v>54</x:v>
      </x:c>
      <x:c r="G9" s="6" t="s">
        <x:v>62</x:v>
      </x:c>
      <x:c r="H9" s="6" t="s">
        <x:v>63</x:v>
      </x:c>
      <x:c r="I9" s="8">
        <x:v>45943</x:v>
      </x:c>
      <x:c r="J9" s="8">
        <x:v>45994</x:v>
      </x:c>
      <x:c r="K9" s="6">
        <x:v>64</x:v>
      </x:c>
      <x:c r="L9" s="15" t="s">
        <x:v>58</x:v>
      </x:c>
    </x:row>
    <x:row r="10" ht="25.049999237060547" customHeight="1">
      <x:c r="A10" s="14" t="s">
        <x:v>64</x:v>
      </x:c>
      <x:c r="B10" s="7" t="s">
        <x:v>65</x:v>
      </x:c>
      <x:c r="C10" s="7" t="s">
        <x:v>56</x:v>
      </x:c>
      <x:c r="D10" s="7" t="s">
        <x:v>66</x:v>
      </x:c>
      <x:c r="E10" s="6">
        <x:v>300</x:v>
      </x:c>
      <x:c r="F10" s="6" t="s">
        <x:v>59</x:v>
      </x:c>
      <x:c r="G10" s="6" t="s">
        <x:v>15</x:v>
      </x:c>
      <x:c r="H10" s="6" t="s">
        <x:v>67</x:v>
      </x:c>
      <x:c r="I10" s="8">
        <x:v>45995</x:v>
      </x:c>
      <x:c r="J10" s="8">
        <x:v>46344</x:v>
      </x:c>
      <x:c r="K10" s="6">
        <x:v>64</x:v>
      </x:c>
      <x:c r="L10" s="15" t="s">
        <x:v>58</x:v>
      </x:c>
    </x:row>
    <x:row r="11" ht="25.049999237060547" customHeight="1">
      <x:c r="A11" s="14" t="s">
        <x:v>68</x:v>
      </x:c>
      <x:c r="B11" s="7" t="s">
        <x:v>69</x:v>
      </x:c>
      <x:c r="C11" s="7" t="s">
        <x:v>56</x:v>
      </x:c>
      <x:c r="D11" s="7" t="s">
        <x:v>70</x:v>
      </x:c>
      <x:c r="E11" s="6">
        <x:v>260</x:v>
      </x:c>
      <x:c r="F11" s="6" t="s">
        <x:v>59</x:v>
      </x:c>
      <x:c r="G11" s="6" t="s">
        <x:v>15</x:v>
      </x:c>
      <x:c r="H11" s="6" t="s">
        <x:v>67</x:v>
      </x:c>
      <x:c r="I11" s="8">
        <x:v>45995</x:v>
      </x:c>
      <x:c r="J11" s="8">
        <x:v>46297</x:v>
      </x:c>
      <x:c r="K11" s="6">
        <x:v>204</x:v>
      </x:c>
      <x:c r="L11" s="15" t="s">
        <x:v>58</x:v>
      </x:c>
    </x:row>
    <x:row r="12" ht="25.049999237060547" customHeight="1">
      <x:c r="A12" s="14" t="s">
        <x:v>71</x:v>
      </x:c>
      <x:c r="B12" s="7" t="s">
        <x:v>72</x:v>
      </x:c>
      <x:c r="C12" s="7" t="s">
        <x:v>56</x:v>
      </x:c>
      <x:c r="D12" s="7" t="s">
        <x:v>73</x:v>
      </x:c>
      <x:c r="E12" s="6">
        <x:v>240</x:v>
      </x:c>
      <x:c r="F12" s="6" t="s">
        <x:v>59</x:v>
      </x:c>
      <x:c r="G12" s="6" t="s">
        <x:v>15</x:v>
      </x:c>
      <x:c r="H12" s="6" t="s">
        <x:v>67</x:v>
      </x:c>
      <x:c r="I12" s="8">
        <x:v>45995</x:v>
      </x:c>
      <x:c r="J12" s="8">
        <x:v>46274</x:v>
      </x:c>
      <x:c r="K12" s="6">
        <x:v>124</x:v>
      </x:c>
      <x:c r="L12" s="15" t="s">
        <x:v>58</x:v>
      </x:c>
    </x:row>
    <x:row r="13" ht="25.049999237060547" customHeight="1">
      <x:c r="A13" s="14" t="s">
        <x:v>74</x:v>
      </x:c>
      <x:c r="B13" s="7" t="s">
        <x:v>75</x:v>
      </x:c>
      <x:c r="C13" s="7" t="s">
        <x:v>76</x:v>
      </x:c>
      <x:c r="D13" s="7" t="s">
        <x:v>77</x:v>
      </x:c>
      <x:c r="E13" s="6">
        <x:v>35</x:v>
      </x:c>
      <x:c r="F13" s="6" t="s">
        <x:v>50</x:v>
      </x:c>
      <x:c r="G13" s="6" t="s">
        <x:v>15</x:v>
      </x:c>
      <x:c r="H13" s="6" t="s">
        <x:v>78</x:v>
      </x:c>
      <x:c r="I13" s="8">
        <x:v>45954</x:v>
      </x:c>
      <x:c r="J13" s="8">
        <x:v>45994</x:v>
      </x:c>
      <x:c r="K13" s="6">
        <x:v>0</x:v>
      </x:c>
      <x:c r="L13" s="15" t="s">
        <x:v>45</x:v>
      </x:c>
    </x:row>
    <x:row r="14" ht="25.049999237060547" customHeight="1">
      <x:c r="A14" s="14" t="s">
        <x:v>79</x:v>
      </x:c>
      <x:c r="B14" s="7" t="s">
        <x:v>80</x:v>
      </x:c>
      <x:c r="C14" s="7" t="s">
        <x:v>76</x:v>
      </x:c>
      <x:c r="D14" s="7" t="s">
        <x:v>81</x:v>
      </x:c>
      <x:c r="E14" s="6">
        <x:v>15</x:v>
      </x:c>
      <x:c r="F14" s="6" t="s">
        <x:v>74</x:v>
      </x:c>
      <x:c r="G14" s="6" t="s">
        <x:v>15</x:v>
      </x:c>
      <x:c r="H14" s="6" t="s">
        <x:v>82</x:v>
      </x:c>
      <x:c r="I14" s="8">
        <x:v>45995</x:v>
      </x:c>
      <x:c r="J14" s="8">
        <x:v>46011</x:v>
      </x:c>
      <x:c r="K14" s="6">
        <x:v>0</x:v>
      </x:c>
      <x:c r="L14" s="15" t="s">
        <x:v>45</x:v>
      </x:c>
    </x:row>
    <x:row r="15" ht="25.049999237060547" customHeight="1">
      <x:c r="A15" s="14" t="s">
        <x:v>83</x:v>
      </x:c>
      <x:c r="B15" s="7" t="s">
        <x:v>84</x:v>
      </x:c>
      <x:c r="C15" s="7" t="s">
        <x:v>76</x:v>
      </x:c>
      <x:c r="D15" s="7" t="s">
        <x:v>85</x:v>
      </x:c>
      <x:c r="E15" s="6">
        <x:v>60</x:v>
      </x:c>
      <x:c r="F15" s="6" t="s">
        <x:v>79</x:v>
      </x:c>
      <x:c r="G15" s="6" t="s">
        <x:v>15</x:v>
      </x:c>
      <x:c r="H15" s="6" t="s">
        <x:v>86</x:v>
      </x:c>
      <x:c r="I15" s="8">
        <x:v>46013</x:v>
      </x:c>
      <x:c r="J15" s="8">
        <x:v>46081</x:v>
      </x:c>
      <x:c r="K15" s="6">
        <x:v>0</x:v>
      </x:c>
      <x:c r="L15" s="15" t="s">
        <x:v>45</x:v>
      </x:c>
    </x:row>
    <x:row r="16" ht="25.049999237060547" customHeight="1">
      <x:c r="A16" s="14" t="s">
        <x:v>87</x:v>
      </x:c>
      <x:c r="B16" s="7" t="s">
        <x:v>88</x:v>
      </x:c>
      <x:c r="C16" s="7" t="s">
        <x:v>76</x:v>
      </x:c>
      <x:c r="D16" s="7" t="s">
        <x:v>89</x:v>
      </x:c>
      <x:c r="E16" s="6">
        <x:v>70</x:v>
      </x:c>
      <x:c r="F16" s="6" t="s">
        <x:v>83</x:v>
      </x:c>
      <x:c r="G16" s="6" t="s">
        <x:v>15</x:v>
      </x:c>
      <x:c r="H16" s="6" t="s">
        <x:v>90</x:v>
      </x:c>
      <x:c r="I16" s="8">
        <x:v>46083</x:v>
      </x:c>
      <x:c r="J16" s="8">
        <x:v>46163</x:v>
      </x:c>
      <x:c r="K16" s="6">
        <x:v>0</x:v>
      </x:c>
      <x:c r="L16" s="15" t="s">
        <x:v>45</x:v>
      </x:c>
    </x:row>
    <x:row r="17" ht="25.049999237060547" customHeight="1">
      <x:c r="A17" s="14" t="s">
        <x:v>91</x:v>
      </x:c>
      <x:c r="B17" s="7" t="s">
        <x:v>92</x:v>
      </x:c>
      <x:c r="C17" s="7" t="s">
        <x:v>76</x:v>
      </x:c>
      <x:c r="D17" s="7" t="s">
        <x:v>93</x:v>
      </x:c>
      <x:c r="E17" s="6">
        <x:v>100</x:v>
      </x:c>
      <x:c r="F17" s="6" t="s">
        <x:v>87</x:v>
      </x:c>
      <x:c r="G17" s="6" t="s">
        <x:v>94</x:v>
      </x:c>
      <x:c r="H17" s="6" t="s">
        <x:v>95</x:v>
      </x:c>
      <x:c r="I17" s="8">
        <x:v>46106</x:v>
      </x:c>
      <x:c r="J17" s="8">
        <x:v>46221</x:v>
      </x:c>
      <x:c r="K17" s="6">
        <x:v>0</x:v>
      </x:c>
      <x:c r="L17" s="15" t="s">
        <x:v>45</x:v>
      </x:c>
    </x:row>
    <x:row r="18" ht="25.049999237060547" customHeight="1">
      <x:c r="A18" s="14" t="s">
        <x:v>96</x:v>
      </x:c>
      <x:c r="B18" s="7" t="s">
        <x:v>97</x:v>
      </x:c>
      <x:c r="C18" s="7" t="s">
        <x:v>76</x:v>
      </x:c>
      <x:c r="D18" s="7" t="s">
        <x:v>98</x:v>
      </x:c>
      <x:c r="E18" s="6">
        <x:v>80</x:v>
      </x:c>
      <x:c r="F18" s="6" t="s">
        <x:v>91</x:v>
      </x:c>
      <x:c r="G18" s="6" t="s">
        <x:v>15</x:v>
      </x:c>
      <x:c r="H18" s="6" t="s">
        <x:v>99</x:v>
      </x:c>
      <x:c r="I18" s="8">
        <x:v>46223</x:v>
      </x:c>
      <x:c r="J18" s="8">
        <x:v>46315</x:v>
      </x:c>
      <x:c r="K18" s="6">
        <x:v>0</x:v>
      </x:c>
      <x:c r="L18" s="15" t="s">
        <x:v>45</x:v>
      </x:c>
    </x:row>
    <x:row r="19" ht="25.049999237060547" customHeight="1">
      <x:c r="A19" s="14" t="s">
        <x:v>100</x:v>
      </x:c>
      <x:c r="B19" s="7" t="s">
        <x:v>101</x:v>
      </x:c>
      <x:c r="C19" s="7" t="s">
        <x:v>76</x:v>
      </x:c>
      <x:c r="D19" s="7" t="s">
        <x:v>102</x:v>
      </x:c>
      <x:c r="E19" s="6">
        <x:v>45</x:v>
      </x:c>
      <x:c r="F19" s="6" t="s">
        <x:v>96</x:v>
      </x:c>
      <x:c r="G19" s="6" t="s">
        <x:v>15</x:v>
      </x:c>
      <x:c r="H19" s="6" t="s">
        <x:v>103</x:v>
      </x:c>
      <x:c r="I19" s="8">
        <x:v>46316</x:v>
      </x:c>
      <x:c r="J19" s="8">
        <x:v>46367</x:v>
      </x:c>
      <x:c r="K19" s="6">
        <x:v>0</x:v>
      </x:c>
      <x:c r="L19" s="15" t="s">
        <x:v>45</x:v>
      </x:c>
    </x:row>
    <x:row r="20" ht="25.049999237060547" customHeight="1">
      <x:c r="A20" s="14" t="s">
        <x:v>104</x:v>
      </x:c>
      <x:c r="B20" s="7" t="s">
        <x:v>105</x:v>
      </x:c>
      <x:c r="C20" s="7" t="s">
        <x:v>76</x:v>
      </x:c>
      <x:c r="D20" s="7" t="s">
        <x:v>106</x:v>
      </x:c>
      <x:c r="E20" s="6">
        <x:v>30</x:v>
      </x:c>
      <x:c r="F20" s="6" t="s">
        <x:v>100</x:v>
      </x:c>
      <x:c r="G20" s="6" t="s">
        <x:v>15</x:v>
      </x:c>
      <x:c r="H20" s="6" t="s">
        <x:v>107</x:v>
      </x:c>
      <x:c r="I20" s="8">
        <x:v>46368</x:v>
      </x:c>
      <x:c r="J20" s="8">
        <x:v>46402</x:v>
      </x:c>
      <x:c r="K20" s="6">
        <x:v>0</x:v>
      </x:c>
      <x:c r="L20" s="15" t="s">
        <x:v>45</x:v>
      </x:c>
    </x:row>
    <x:row r="21" ht="25.049999237060547" customHeight="1">
      <x:c r="A21" s="14" t="s">
        <x:v>108</x:v>
      </x:c>
      <x:c r="B21" s="7" t="s">
        <x:v>109</x:v>
      </x:c>
      <x:c r="C21" s="7" t="s">
        <x:v>76</x:v>
      </x:c>
      <x:c r="D21" s="7" t="s">
        <x:v>110</x:v>
      </x:c>
      <x:c r="E21" s="6">
        <x:v>14</x:v>
      </x:c>
      <x:c r="F21" s="6" t="s">
        <x:v>104</x:v>
      </x:c>
      <x:c r="G21" s="6" t="s">
        <x:v>15</x:v>
      </x:c>
      <x:c r="H21" s="6" t="s">
        <x:v>111</x:v>
      </x:c>
      <x:c r="I21" s="8">
        <x:v>46403</x:v>
      </x:c>
      <x:c r="J21" s="8">
        <x:v>46419</x:v>
      </x:c>
      <x:c r="K21" s="6">
        <x:v>0</x:v>
      </x:c>
      <x:c r="L21" s="15" t="s">
        <x:v>45</x:v>
      </x:c>
    </x:row>
    <x:row r="22" ht="25.049999237060547" customHeight="1">
      <x:c r="A22" s="14" t="s">
        <x:v>112</x:v>
      </x:c>
      <x:c r="B22" s="7" t="s">
        <x:v>113</x:v>
      </x:c>
      <x:c r="C22" s="7" t="s">
        <x:v>114</x:v>
      </x:c>
      <x:c r="D22" s="7" t="s">
        <x:v>115</x:v>
      </x:c>
      <x:c r="E22" s="6">
        <x:v>40</x:v>
      </x:c>
      <x:c r="F22" s="6" t="s">
        <x:v>50</x:v>
      </x:c>
      <x:c r="G22" s="6" t="s">
        <x:v>15</x:v>
      </x:c>
      <x:c r="H22" s="6" t="s">
        <x:v>78</x:v>
      </x:c>
      <x:c r="I22" s="8">
        <x:v>45954</x:v>
      </x:c>
      <x:c r="J22" s="8">
        <x:v>46000</x:v>
      </x:c>
      <x:c r="K22" s="6">
        <x:v>330</x:v>
      </x:c>
      <x:c r="L22" s="15" t="s">
        <x:v>58</x:v>
      </x:c>
    </x:row>
    <x:row r="23" ht="25.049999237060547" customHeight="1">
      <x:c r="A23" s="14" t="s">
        <x:v>116</x:v>
      </x:c>
      <x:c r="B23" s="7" t="s">
        <x:v>117</x:v>
      </x:c>
      <x:c r="C23" s="7" t="s">
        <x:v>114</x:v>
      </x:c>
      <x:c r="D23" s="7" t="s">
        <x:v>118</x:v>
      </x:c>
      <x:c r="E23" s="6">
        <x:v>60</x:v>
      </x:c>
      <x:c r="F23" s="6" t="s">
        <x:v>112</x:v>
      </x:c>
      <x:c r="G23" s="6" t="s">
        <x:v>15</x:v>
      </x:c>
      <x:c r="H23" s="6" t="s">
        <x:v>119</x:v>
      </x:c>
      <x:c r="I23" s="8">
        <x:v>46001</x:v>
      </x:c>
      <x:c r="J23" s="8">
        <x:v>46070</x:v>
      </x:c>
      <x:c r="K23" s="6">
        <x:v>330</x:v>
      </x:c>
      <x:c r="L23" s="15" t="s">
        <x:v>58</x:v>
      </x:c>
    </x:row>
    <x:row r="24" ht="25.049999237060547" customHeight="1">
      <x:c r="A24" s="14" t="s">
        <x:v>120</x:v>
      </x:c>
      <x:c r="B24" s="7" t="s">
        <x:v>121</x:v>
      </x:c>
      <x:c r="C24" s="7" t="s">
        <x:v>114</x:v>
      </x:c>
      <x:c r="D24" s="7" t="s">
        <x:v>122</x:v>
      </x:c>
      <x:c r="E24" s="6">
        <x:v>100</x:v>
      </x:c>
      <x:c r="F24" s="6" t="s">
        <x:v>116</x:v>
      </x:c>
      <x:c r="G24" s="6" t="s">
        <x:v>15</x:v>
      </x:c>
      <x:c r="H24" s="6" t="s">
        <x:v>123</x:v>
      </x:c>
      <x:c r="I24" s="8">
        <x:v>46071</x:v>
      </x:c>
      <x:c r="J24" s="8">
        <x:v>46186</x:v>
      </x:c>
      <x:c r="K24" s="6">
        <x:v>330</x:v>
      </x:c>
      <x:c r="L24" s="15" t="s">
        <x:v>58</x:v>
      </x:c>
    </x:row>
    <x:row r="25" ht="25.049999237060547" customHeight="1">
      <x:c r="A25" s="14" t="s">
        <x:v>124</x:v>
      </x:c>
      <x:c r="B25" s="7" t="s">
        <x:v>125</x:v>
      </x:c>
      <x:c r="C25" s="7" t="s">
        <x:v>114</x:v>
      </x:c>
      <x:c r="D25" s="7" t="s">
        <x:v>126</x:v>
      </x:c>
      <x:c r="E25" s="6">
        <x:v>60</x:v>
      </x:c>
      <x:c r="F25" s="6" t="s">
        <x:v>120</x:v>
      </x:c>
      <x:c r="G25" s="6" t="s">
        <x:v>15</x:v>
      </x:c>
      <x:c r="H25" s="6" t="s">
        <x:v>127</x:v>
      </x:c>
      <x:c r="I25" s="8">
        <x:v>46188</x:v>
      </x:c>
      <x:c r="J25" s="8">
        <x:v>46256</x:v>
      </x:c>
      <x:c r="K25" s="6">
        <x:v>330</x:v>
      </x:c>
      <x:c r="L25" s="15" t="s">
        <x:v>58</x:v>
      </x:c>
    </x:row>
    <x:row r="26" ht="25.049999237060547" customHeight="1">
      <x:c r="A26" s="14" t="s">
        <x:v>128</x:v>
      </x:c>
      <x:c r="B26" s="7" t="s">
        <x:v>129</x:v>
      </x:c>
      <x:c r="C26" s="7" t="s">
        <x:v>114</x:v>
      </x:c>
      <x:c r="D26" s="7" t="s">
        <x:v>130</x:v>
      </x:c>
      <x:c r="E26" s="6">
        <x:v>30</x:v>
      </x:c>
      <x:c r="F26" s="6" t="s">
        <x:v>124</x:v>
      </x:c>
      <x:c r="G26" s="6" t="s">
        <x:v>15</x:v>
      </x:c>
      <x:c r="H26" s="6" t="s">
        <x:v>131</x:v>
      </x:c>
      <x:c r="I26" s="8">
        <x:v>46258</x:v>
      </x:c>
      <x:c r="J26" s="8">
        <x:v>46291</x:v>
      </x:c>
      <x:c r="K26" s="6">
        <x:v>330</x:v>
      </x:c>
      <x:c r="L26" s="15" t="s">
        <x:v>58</x:v>
      </x:c>
    </x:row>
    <x:row r="27" ht="25.049999237060547" customHeight="1">
      <x:c r="A27" s="14" t="s">
        <x:v>132</x:v>
      </x:c>
      <x:c r="B27" s="7" t="s">
        <x:v>133</x:v>
      </x:c>
      <x:c r="C27" s="7" t="s">
        <x:v>114</x:v>
      </x:c>
      <x:c r="D27" s="7" t="s">
        <x:v>134</x:v>
      </x:c>
      <x:c r="E27" s="6">
        <x:v>14</x:v>
      </x:c>
      <x:c r="F27" s="6" t="s">
        <x:v>128</x:v>
      </x:c>
      <x:c r="G27" s="6" t="s">
        <x:v>15</x:v>
      </x:c>
      <x:c r="H27" s="6" t="s">
        <x:v>135</x:v>
      </x:c>
      <x:c r="I27" s="8">
        <x:v>46293</x:v>
      </x:c>
      <x:c r="J27" s="8">
        <x:v>46308</x:v>
      </x:c>
      <x:c r="K27" s="6">
        <x:v>330</x:v>
      </x:c>
      <x:c r="L27" s="15" t="s">
        <x:v>58</x:v>
      </x:c>
    </x:row>
    <x:row r="28" ht="25.049999237060547" customHeight="1">
      <x:c r="A28" s="14" t="s">
        <x:v>136</x:v>
      </x:c>
      <x:c r="B28" s="7" t="s">
        <x:v>137</x:v>
      </x:c>
      <x:c r="C28" s="7" t="s">
        <x:v>138</x:v>
      </x:c>
      <x:c r="D28" s="7" t="s">
        <x:v>139</x:v>
      </x:c>
      <x:c r="E28" s="6">
        <x:v>75</x:v>
      </x:c>
      <x:c r="F28" s="6" t="s">
        <x:v>83</x:v>
      </x:c>
      <x:c r="G28" s="6" t="s">
        <x:v>94</x:v>
      </x:c>
      <x:c r="H28" s="6" t="s">
        <x:v>140</x:v>
      </x:c>
      <x:c r="I28" s="8">
        <x:v>46036</x:v>
      </x:c>
      <x:c r="J28" s="8">
        <x:v>46122</x:v>
      </x:c>
      <x:c r="K28" s="6">
        <x:v>254</x:v>
      </x:c>
      <x:c r="L28" s="15" t="s">
        <x:v>58</x:v>
      </x:c>
    </x:row>
    <x:row r="29" ht="25.049999237060547" customHeight="1">
      <x:c r="A29" s="14" t="s">
        <x:v>141</x:v>
      </x:c>
      <x:c r="B29" s="7" t="s">
        <x:v>142</x:v>
      </x:c>
      <x:c r="C29" s="7" t="s">
        <x:v>138</x:v>
      </x:c>
      <x:c r="D29" s="7" t="s">
        <x:v>143</x:v>
      </x:c>
      <x:c r="E29" s="6">
        <x:v>90</x:v>
      </x:c>
      <x:c r="F29" s="6" t="s">
        <x:v>83</x:v>
      </x:c>
      <x:c r="G29" s="6" t="s">
        <x:v>144</x:v>
      </x:c>
      <x:c r="H29" s="6" t="s">
        <x:v>145</x:v>
      </x:c>
      <x:c r="I29" s="8">
        <x:v>46048</x:v>
      </x:c>
      <x:c r="J29" s="8">
        <x:v>46151</x:v>
      </x:c>
      <x:c r="K29" s="6">
        <x:v>349</x:v>
      </x:c>
      <x:c r="L29" s="15" t="s">
        <x:v>58</x:v>
      </x:c>
    </x:row>
    <x:row r="30" ht="25.049999237060547" customHeight="1">
      <x:c r="A30" s="14" t="s">
        <x:v>146</x:v>
      </x:c>
      <x:c r="B30" s="7" t="s">
        <x:v>147</x:v>
      </x:c>
      <x:c r="C30" s="7" t="s">
        <x:v>138</x:v>
      </x:c>
      <x:c r="D30" s="7" t="s">
        <x:v>148</x:v>
      </x:c>
      <x:c r="E30" s="6">
        <x:v>120</x:v>
      </x:c>
      <x:c r="F30" s="6" t="s">
        <x:v>74</x:v>
      </x:c>
      <x:c r="G30" s="6" t="s">
        <x:v>15</x:v>
      </x:c>
      <x:c r="H30" s="6" t="s">
        <x:v>82</x:v>
      </x:c>
      <x:c r="I30" s="8">
        <x:v>45995</x:v>
      </x:c>
      <x:c r="J30" s="8">
        <x:v>46134</x:v>
      </x:c>
      <x:c r="K30" s="6">
        <x:v>499</x:v>
      </x:c>
      <x:c r="L30" s="15" t="s">
        <x:v>58</x:v>
      </x:c>
    </x:row>
    <x:row r="31" ht="25.049999237060547" customHeight="1">
      <x:c r="A31" s="14" t="s">
        <x:v>149</x:v>
      </x:c>
      <x:c r="B31" s="7" t="s">
        <x:v>150</x:v>
      </x:c>
      <x:c r="C31" s="7" t="s">
        <x:v>138</x:v>
      </x:c>
      <x:c r="D31" s="7" t="s">
        <x:v>151</x:v>
      </x:c>
      <x:c r="E31" s="6">
        <x:v>70</x:v>
      </x:c>
      <x:c r="F31" s="6" t="s">
        <x:v>146</x:v>
      </x:c>
      <x:c r="G31" s="6" t="s">
        <x:v>15</x:v>
      </x:c>
      <x:c r="H31" s="6" t="s">
        <x:v>152</x:v>
      </x:c>
      <x:c r="I31" s="8">
        <x:v>46135</x:v>
      </x:c>
      <x:c r="J31" s="8">
        <x:v>46216</x:v>
      </x:c>
      <x:c r="K31" s="6">
        <x:v>499</x:v>
      </x:c>
      <x:c r="L31" s="15" t="s">
        <x:v>58</x:v>
      </x:c>
    </x:row>
    <x:row r="32" ht="25.049999237060547" customHeight="1">
      <x:c r="A32" s="14" t="s">
        <x:v>153</x:v>
      </x:c>
      <x:c r="B32" s="7" t="s">
        <x:v>154</x:v>
      </x:c>
      <x:c r="C32" s="7" t="s">
        <x:v>155</x:v>
      </x:c>
      <x:c r="D32" s="7" t="s">
        <x:v>156</x:v>
      </x:c>
      <x:c r="E32" s="6">
        <x:v>100</x:v>
      </x:c>
      <x:c r="F32" s="6" t="s">
        <x:v>157</x:v>
      </x:c>
      <x:c r="G32" s="6" t="s">
        <x:v>158</x:v>
      </x:c>
      <x:c r="H32" s="6" t="s">
        <x:v>159</x:v>
      </x:c>
      <x:c r="I32" s="8">
        <x:v>46420</x:v>
      </x:c>
      <x:c r="J32" s="8">
        <x:v>46535</x:v>
      </x:c>
      <x:c r="K32" s="6">
        <x:v>0</x:v>
      </x:c>
      <x:c r="L32" s="15" t="s">
        <x:v>45</x:v>
      </x:c>
    </x:row>
    <x:row r="33" ht="25.049999237060547" customHeight="1">
      <x:c r="A33" s="14" t="s">
        <x:v>160</x:v>
      </x:c>
      <x:c r="B33" s="7" t="s">
        <x:v>161</x:v>
      </x:c>
      <x:c r="C33" s="7" t="s">
        <x:v>155</x:v>
      </x:c>
      <x:c r="D33" s="7" t="s">
        <x:v>162</x:v>
      </x:c>
      <x:c r="E33" s="6">
        <x:v>90</x:v>
      </x:c>
      <x:c r="F33" s="6" t="s">
        <x:v>163</x:v>
      </x:c>
      <x:c r="G33" s="6" t="s">
        <x:v>158</x:v>
      </x:c>
      <x:c r="H33" s="6" t="s">
        <x:v>164</x:v>
      </x:c>
      <x:c r="I33" s="8">
        <x:v>46345</x:v>
      </x:c>
      <x:c r="J33" s="8">
        <x:v>46449</x:v>
      </x:c>
      <x:c r="K33" s="6">
        <x:v>164</x:v>
      </x:c>
      <x:c r="L33" s="15" t="s">
        <x:v>58</x:v>
      </x:c>
    </x:row>
    <x:row r="34" ht="25.049999237060547" customHeight="1">
      <x:c r="A34" s="14" t="s">
        <x:v>165</x:v>
      </x:c>
      <x:c r="B34" s="7" t="s">
        <x:v>166</x:v>
      </x:c>
      <x:c r="C34" s="7" t="s">
        <x:v>155</x:v>
      </x:c>
      <x:c r="D34" s="7" t="s">
        <x:v>167</x:v>
      </x:c>
      <x:c r="E34" s="6">
        <x:v>70</x:v>
      </x:c>
      <x:c r="F34" s="6" t="s">
        <x:v>168</x:v>
      </x:c>
      <x:c r="G34" s="6" t="s">
        <x:v>158</x:v>
      </x:c>
      <x:c r="H34" s="6" t="s">
        <x:v>169</x:v>
      </x:c>
      <x:c r="I34" s="8">
        <x:v>46345</x:v>
      </x:c>
      <x:c r="J34" s="8">
        <x:v>46426</x:v>
      </x:c>
      <x:c r="K34" s="6">
        <x:v>184</x:v>
      </x:c>
      <x:c r="L34" s="15" t="s">
        <x:v>58</x:v>
      </x:c>
    </x:row>
    <x:row r="35" ht="25.049999237060547" customHeight="1">
      <x:c r="A35" s="14" t="s">
        <x:v>170</x:v>
      </x:c>
      <x:c r="B35" s="7" t="s">
        <x:v>171</x:v>
      </x:c>
      <x:c r="C35" s="7" t="s">
        <x:v>155</x:v>
      </x:c>
      <x:c r="D35" s="7" t="s">
        <x:v>172</x:v>
      </x:c>
      <x:c r="E35" s="6">
        <x:v>50</x:v>
      </x:c>
      <x:c r="F35" s="6" t="s">
        <x:v>157</x:v>
      </x:c>
      <x:c r="G35" s="6" t="s">
        <x:v>158</x:v>
      </x:c>
      <x:c r="H35" s="6" t="s">
        <x:v>159</x:v>
      </x:c>
      <x:c r="I35" s="8">
        <x:v>46420</x:v>
      </x:c>
      <x:c r="J35" s="8">
        <x:v>46477</x:v>
      </x:c>
      <x:c r="K35" s="6">
        <x:v>140</x:v>
      </x:c>
      <x:c r="L35" s="15" t="s">
        <x:v>58</x:v>
      </x:c>
    </x:row>
    <x:row r="36" ht="25.049999237060547" customHeight="1">
      <x:c r="A36" s="14" t="s">
        <x:v>173</x:v>
      </x:c>
      <x:c r="B36" s="7" t="s">
        <x:v>174</x:v>
      </x:c>
      <x:c r="C36" s="7" t="s">
        <x:v>155</x:v>
      </x:c>
      <x:c r="D36" s="7" t="s">
        <x:v>175</x:v>
      </x:c>
      <x:c r="E36" s="6">
        <x:v>100</x:v>
      </x:c>
      <x:c r="F36" s="6" t="s">
        <x:v>176</x:v>
      </x:c>
      <x:c r="G36" s="6" t="s">
        <x:v>158</x:v>
      </x:c>
      <x:c r="H36" s="6" t="s">
        <x:v>177</x:v>
      </x:c>
      <x:c r="I36" s="8">
        <x:v>46275</x:v>
      </x:c>
      <x:c r="J36" s="8">
        <x:v>46391</x:v>
      </x:c>
      <x:c r="K36" s="6">
        <x:v>124</x:v>
      </x:c>
      <x:c r="L36" s="15" t="s">
        <x:v>58</x:v>
      </x:c>
    </x:row>
    <x:row r="37" ht="25.049999237060547" customHeight="1">
      <x:c r="A37" s="14" t="s">
        <x:v>178</x:v>
      </x:c>
      <x:c r="B37" s="7" t="s">
        <x:v>179</x:v>
      </x:c>
      <x:c r="C37" s="7" t="s">
        <x:v>155</x:v>
      </x:c>
      <x:c r="D37" s="7" t="s">
        <x:v>180</x:v>
      </x:c>
      <x:c r="E37" s="6">
        <x:v>90</x:v>
      </x:c>
      <x:c r="F37" s="6" t="s">
        <x:v>181</x:v>
      </x:c>
      <x:c r="G37" s="6" t="s">
        <x:v>182</x:v>
      </x:c>
      <x:c r="H37" s="6" t="s">
        <x:v>183</x:v>
      </x:c>
      <x:c r="I37" s="8">
        <x:v>46536</x:v>
      </x:c>
      <x:c r="J37" s="8">
        <x:v>46640</x:v>
      </x:c>
      <x:c r="K37" s="6">
        <x:v>0</x:v>
      </x:c>
      <x:c r="L37" s="15" t="s">
        <x:v>45</x:v>
      </x:c>
    </x:row>
    <x:row r="38" ht="25.049999237060547" customHeight="1">
      <x:c r="A38" s="14" t="s">
        <x:v>184</x:v>
      </x:c>
      <x:c r="B38" s="7" t="s">
        <x:v>185</x:v>
      </x:c>
      <x:c r="C38" s="7" t="s">
        <x:v>186</x:v>
      </x:c>
      <x:c r="D38" s="7" t="s">
        <x:v>187</x:v>
      </x:c>
      <x:c r="E38" s="6">
        <x:v>40</x:v>
      </x:c>
      <x:c r="F38" s="6" t="s">
        <x:v>50</x:v>
      </x:c>
      <x:c r="G38" s="6" t="s">
        <x:v>15</x:v>
      </x:c>
      <x:c r="H38" s="6" t="s">
        <x:v>78</x:v>
      </x:c>
      <x:c r="I38" s="8">
        <x:v>45954</x:v>
      </x:c>
      <x:c r="J38" s="8">
        <x:v>46000</x:v>
      </x:c>
      <x:c r="K38" s="6">
        <x:v>334</x:v>
      </x:c>
      <x:c r="L38" s="15" t="s">
        <x:v>58</x:v>
      </x:c>
    </x:row>
    <x:row r="39" ht="25.049999237060547" customHeight="1">
      <x:c r="A39" s="14" t="s">
        <x:v>188</x:v>
      </x:c>
      <x:c r="B39" s="7" t="s">
        <x:v>189</x:v>
      </x:c>
      <x:c r="C39" s="7" t="s">
        <x:v>186</x:v>
      </x:c>
      <x:c r="D39" s="7" t="s">
        <x:v>190</x:v>
      </x:c>
      <x:c r="E39" s="6">
        <x:v>180</x:v>
      </x:c>
      <x:c r="F39" s="6" t="s">
        <x:v>184</x:v>
      </x:c>
      <x:c r="G39" s="6" t="s">
        <x:v>15</x:v>
      </x:c>
      <x:c r="H39" s="6" t="s">
        <x:v>191</x:v>
      </x:c>
      <x:c r="I39" s="8">
        <x:v>46001</x:v>
      </x:c>
      <x:c r="J39" s="8">
        <x:v>46210</x:v>
      </x:c>
      <x:c r="K39" s="6">
        <x:v>334</x:v>
      </x:c>
      <x:c r="L39" s="15" t="s">
        <x:v>58</x:v>
      </x:c>
    </x:row>
    <x:row r="40" ht="25.049999237060547" customHeight="1">
      <x:c r="A40" s="14" t="s">
        <x:v>192</x:v>
      </x:c>
      <x:c r="B40" s="7" t="s">
        <x:v>193</x:v>
      </x:c>
      <x:c r="C40" s="7" t="s">
        <x:v>186</x:v>
      </x:c>
      <x:c r="D40" s="7" t="s">
        <x:v>194</x:v>
      </x:c>
      <x:c r="E40" s="6">
        <x:v>90</x:v>
      </x:c>
      <x:c r="F40" s="6" t="s">
        <x:v>184</x:v>
      </x:c>
      <x:c r="G40" s="6" t="s">
        <x:v>144</x:v>
      </x:c>
      <x:c r="H40" s="6" t="s">
        <x:v>195</x:v>
      </x:c>
      <x:c r="I40" s="8">
        <x:v>45989</x:v>
      </x:c>
      <x:c r="J40" s="8">
        <x:v>46093</x:v>
      </x:c>
      <x:c r="K40" s="6">
        <x:v>434</x:v>
      </x:c>
      <x:c r="L40" s="15" t="s">
        <x:v>58</x:v>
      </x:c>
    </x:row>
    <x:row r="41" ht="25.049999237060547" customHeight="1">
      <x:c r="A41" s="14" t="s">
        <x:v>196</x:v>
      </x:c>
      <x:c r="B41" s="7" t="s">
        <x:v>197</x:v>
      </x:c>
      <x:c r="C41" s="7" t="s">
        <x:v>186</x:v>
      </x:c>
      <x:c r="D41" s="7" t="s">
        <x:v>198</x:v>
      </x:c>
      <x:c r="E41" s="6">
        <x:v>80</x:v>
      </x:c>
      <x:c r="F41" s="6" t="s">
        <x:v>199</x:v>
      </x:c>
      <x:c r="G41" s="6" t="s">
        <x:v>182</x:v>
      </x:c>
      <x:c r="H41" s="6" t="s">
        <x:v>200</x:v>
      </x:c>
      <x:c r="I41" s="8">
        <x:v>46345</x:v>
      </x:c>
      <x:c r="J41" s="8">
        <x:v>46437</x:v>
      </x:c>
      <x:c r="K41" s="6">
        <x:v>219</x:v>
      </x:c>
      <x:c r="L41" s="15" t="s">
        <x:v>58</x:v>
      </x:c>
    </x:row>
    <x:row r="42" ht="25.049999237060547" customHeight="1">
      <x:c r="A42" s="14" t="s">
        <x:v>201</x:v>
      </x:c>
      <x:c r="B42" s="7" t="s">
        <x:v>202</x:v>
      </x:c>
      <x:c r="C42" s="7" t="s">
        <x:v>203</x:v>
      </x:c>
      <x:c r="D42" s="7" t="s">
        <x:v>204</x:v>
      </x:c>
      <x:c r="E42" s="6">
        <x:v>45</x:v>
      </x:c>
      <x:c r="F42" s="6" t="s">
        <x:v>46</x:v>
      </x:c>
      <x:c r="G42" s="6" t="s">
        <x:v>15</x:v>
      </x:c>
      <x:c r="H42" s="6" t="s">
        <x:v>205</x:v>
      </x:c>
      <x:c r="I42" s="8">
        <x:v>45954</x:v>
      </x:c>
      <x:c r="J42" s="8">
        <x:v>46006</x:v>
      </x:c>
      <x:c r="K42" s="6">
        <x:v>294</x:v>
      </x:c>
      <x:c r="L42" s="15" t="s">
        <x:v>58</x:v>
      </x:c>
    </x:row>
    <x:row r="43" ht="25.049999237060547" customHeight="1">
      <x:c r="A43" s="14" t="s">
        <x:v>206</x:v>
      </x:c>
      <x:c r="B43" s="7" t="s">
        <x:v>207</x:v>
      </x:c>
      <x:c r="C43" s="7" t="s">
        <x:v>203</x:v>
      </x:c>
      <x:c r="D43" s="7" t="s">
        <x:v>208</x:v>
      </x:c>
      <x:c r="E43" s="6">
        <x:v>100</x:v>
      </x:c>
      <x:c r="F43" s="6" t="s">
        <x:v>201</x:v>
      </x:c>
      <x:c r="G43" s="6" t="s">
        <x:v>15</x:v>
      </x:c>
      <x:c r="H43" s="6" t="s">
        <x:v>209</x:v>
      </x:c>
      <x:c r="I43" s="8">
        <x:v>46007</x:v>
      </x:c>
      <x:c r="J43" s="8">
        <x:v>46122</x:v>
      </x:c>
      <x:c r="K43" s="6">
        <x:v>294</x:v>
      </x:c>
      <x:c r="L43" s="15" t="s">
        <x:v>58</x:v>
      </x:c>
    </x:row>
    <x:row r="44" ht="25.049999237060547" customHeight="1">
      <x:c r="A44" s="14" t="s">
        <x:v>210</x:v>
      </x:c>
      <x:c r="B44" s="7" t="s">
        <x:v>211</x:v>
      </x:c>
      <x:c r="C44" s="7" t="s">
        <x:v>203</x:v>
      </x:c>
      <x:c r="D44" s="7" t="s">
        <x:v>212</x:v>
      </x:c>
      <x:c r="E44" s="6">
        <x:v>120</x:v>
      </x:c>
      <x:c r="F44" s="6" t="s">
        <x:v>206</x:v>
      </x:c>
      <x:c r="G44" s="6" t="s">
        <x:v>15</x:v>
      </x:c>
      <x:c r="H44" s="6" t="s">
        <x:v>213</x:v>
      </x:c>
      <x:c r="I44" s="8">
        <x:v>46123</x:v>
      </x:c>
      <x:c r="J44" s="8">
        <x:v>46262</x:v>
      </x:c>
      <x:c r="K44" s="6">
        <x:v>294</x:v>
      </x:c>
      <x:c r="L44" s="15" t="s">
        <x:v>58</x:v>
      </x:c>
    </x:row>
    <x:row r="45" ht="25.049999237060547" customHeight="1">
      <x:c r="A45" s="14" t="s">
        <x:v>214</x:v>
      </x:c>
      <x:c r="B45" s="7" t="s">
        <x:v>215</x:v>
      </x:c>
      <x:c r="C45" s="7" t="s">
        <x:v>203</x:v>
      </x:c>
      <x:c r="D45" s="7" t="s">
        <x:v>216</x:v>
      </x:c>
      <x:c r="E45" s="6">
        <x:v>30</x:v>
      </x:c>
      <x:c r="F45" s="6" t="s">
        <x:v>217</x:v>
      </x:c>
      <x:c r="G45" s="6" t="s">
        <x:v>158</x:v>
      </x:c>
      <x:c r="H45" s="6" t="s">
        <x:v>218</x:v>
      </x:c>
      <x:c r="I45" s="8">
        <x:v>46275</x:v>
      </x:c>
      <x:c r="J45" s="8">
        <x:v>46309</x:v>
      </x:c>
      <x:c r="K45" s="6">
        <x:v>284</x:v>
      </x:c>
      <x:c r="L45" s="15" t="s">
        <x:v>58</x:v>
      </x:c>
    </x:row>
    <x:row r="46" ht="30" customHeight="1">
      <x:c r="A46" s="14" t="s">
        <x:v>219</x:v>
      </x:c>
      <x:c r="B46" s="7" t="s">
        <x:v>220</x:v>
      </x:c>
      <x:c r="C46" s="7" t="s">
        <x:v>221</x:v>
      </x:c>
      <x:c r="D46" s="7" t="s">
        <x:v>222</x:v>
      </x:c>
      <x:c r="E46" s="6">
        <x:v>25</x:v>
      </x:c>
      <x:c r="F46" s="6" t="s">
        <x:v>223</x:v>
      </x:c>
      <x:c r="G46" s="6" t="s">
        <x:v>224</x:v>
      </x:c>
      <x:c r="H46" s="6" t="s">
        <x:v>225</x:v>
      </x:c>
      <x:c r="I46" s="8">
        <x:v>46536</x:v>
      </x:c>
      <x:c r="J46" s="8">
        <x:v>46564</x:v>
      </x:c>
      <x:c r="K46" s="6">
        <x:v>90</x:v>
      </x:c>
      <x:c r="L46" s="15" t="s">
        <x:v>58</x:v>
      </x:c>
    </x:row>
    <x:row r="47" ht="25.049999237060547" customHeight="1">
      <x:c r="A47" s="14" t="s">
        <x:v>226</x:v>
      </x:c>
      <x:c r="B47" s="7" t="s">
        <x:v>227</x:v>
      </x:c>
      <x:c r="C47" s="7" t="s">
        <x:v>221</x:v>
      </x:c>
      <x:c r="D47" s="7" t="s">
        <x:v>228</x:v>
      </x:c>
      <x:c r="E47" s="6">
        <x:v>25</x:v>
      </x:c>
      <x:c r="F47" s="6" t="s">
        <x:v>229</x:v>
      </x:c>
      <x:c r="G47" s="6" t="s">
        <x:v>158</x:v>
      </x:c>
      <x:c r="H47" s="6" t="s">
        <x:v>230</x:v>
      </x:c>
      <x:c r="I47" s="8">
        <x:v>46641</x:v>
      </x:c>
      <x:c r="J47" s="8">
        <x:v>46669</x:v>
      </x:c>
      <x:c r="K47" s="6">
        <x:v>0</x:v>
      </x:c>
      <x:c r="L47" s="15" t="s">
        <x:v>45</x:v>
      </x:c>
    </x:row>
    <x:row r="48" ht="25.049999237060547" customHeight="1">
      <x:c r="A48" s="14" t="s">
        <x:v>231</x:v>
      </x:c>
      <x:c r="B48" s="7" t="s">
        <x:v>232</x:v>
      </x:c>
      <x:c r="C48" s="7" t="s">
        <x:v>221</x:v>
      </x:c>
      <x:c r="D48" s="7" t="s">
        <x:v>233</x:v>
      </x:c>
      <x:c r="E48" s="6">
        <x:v>20</x:v>
      </x:c>
      <x:c r="F48" s="6" t="s">
        <x:v>234</x:v>
      </x:c>
      <x:c r="G48" s="6" t="s">
        <x:v>158</x:v>
      </x:c>
      <x:c r="H48" s="6" t="s">
        <x:v>235</x:v>
      </x:c>
      <x:c r="I48" s="8">
        <x:v>46671</x:v>
      </x:c>
      <x:c r="J48" s="8">
        <x:v>46693</x:v>
      </x:c>
      <x:c r="K48" s="6">
        <x:v>0</x:v>
      </x:c>
      <x:c r="L48" s="15" t="s">
        <x:v>45</x:v>
      </x:c>
    </x:row>
    <x:row r="49" ht="25.049999237060547" customHeight="1">
      <x:c r="A49" s="14" t="s">
        <x:v>236</x:v>
      </x:c>
      <x:c r="B49" s="7" t="s">
        <x:v>237</x:v>
      </x:c>
      <x:c r="C49" s="7" t="s">
        <x:v>221</x:v>
      </x:c>
      <x:c r="D49" s="7" t="s">
        <x:v>238</x:v>
      </x:c>
      <x:c r="E49" s="6">
        <x:v>30</x:v>
      </x:c>
      <x:c r="F49" s="6" t="s">
        <x:v>239</x:v>
      </x:c>
      <x:c r="G49" s="6" t="s">
        <x:v>182</x:v>
      </x:c>
      <x:c r="H49" s="6" t="s">
        <x:v>240</x:v>
      </x:c>
      <x:c r="I49" s="8">
        <x:v>46694</x:v>
      </x:c>
      <x:c r="J49" s="8">
        <x:v>46728</x:v>
      </x:c>
      <x:c r="K49" s="6">
        <x:v>0</x:v>
      </x:c>
      <x:c r="L49" s="15" t="s">
        <x:v>45</x:v>
      </x:c>
    </x:row>
    <x:row r="50" ht="25.049999237060547" customHeight="1">
      <x:c r="A50" s="14" t="s">
        <x:v>241</x:v>
      </x:c>
      <x:c r="B50" s="7" t="s">
        <x:v>242</x:v>
      </x:c>
      <x:c r="C50" s="7" t="s">
        <x:v>221</x:v>
      </x:c>
      <x:c r="D50" s="7" t="s">
        <x:v>243</x:v>
      </x:c>
      <x:c r="E50" s="6">
        <x:v>30</x:v>
      </x:c>
      <x:c r="F50" s="6" t="s">
        <x:v>236</x:v>
      </x:c>
      <x:c r="G50" s="6" t="s">
        <x:v>15</x:v>
      </x:c>
      <x:c r="H50" s="6" t="s">
        <x:v>244</x:v>
      </x:c>
      <x:c r="I50" s="8">
        <x:v>46729</x:v>
      </x:c>
      <x:c r="J50" s="8">
        <x:v>46763</x:v>
      </x:c>
      <x:c r="K50" s="6">
        <x:v>0</x:v>
      </x:c>
      <x:c r="L50" s="15" t="s">
        <x:v>45</x:v>
      </x:c>
    </x:row>
    <x:row r="51" ht="25.049999237060547" customHeight="1">
      <x:c r="A51" s="14" t="s">
        <x:v>245</x:v>
      </x:c>
      <x:c r="B51" s="7" t="s">
        <x:v>246</x:v>
      </x:c>
      <x:c r="C51" s="7" t="s">
        <x:v>221</x:v>
      </x:c>
      <x:c r="D51" s="7" t="s">
        <x:v>247</x:v>
      </x:c>
      <x:c r="E51" s="6">
        <x:v>30</x:v>
      </x:c>
      <x:c r="F51" s="6" t="s">
        <x:v>241</x:v>
      </x:c>
      <x:c r="G51" s="6" t="s">
        <x:v>15</x:v>
      </x:c>
      <x:c r="H51" s="6" t="s">
        <x:v>248</x:v>
      </x:c>
      <x:c r="I51" s="8">
        <x:v>46764</x:v>
      </x:c>
      <x:c r="J51" s="8">
        <x:v>46798</x:v>
      </x:c>
      <x:c r="K51" s="6">
        <x:v>0</x:v>
      </x:c>
      <x:c r="L51" s="15" t="s">
        <x:v>45</x:v>
      </x:c>
    </x:row>
    <x:row r="52" ht="25.049999237060547" customHeight="1">
      <x:c r="A52" s="14" t="s">
        <x:v>249</x:v>
      </x:c>
      <x:c r="B52" s="7" t="s">
        <x:v>250</x:v>
      </x:c>
      <x:c r="C52" s="7" t="s">
        <x:v>221</x:v>
      </x:c>
      <x:c r="D52" s="7" t="s">
        <x:v>251</x:v>
      </x:c>
      <x:c r="E52" s="6">
        <x:v>20</x:v>
      </x:c>
      <x:c r="F52" s="6" t="s">
        <x:v>236</x:v>
      </x:c>
      <x:c r="G52" s="6" t="s">
        <x:v>17</x:v>
      </x:c>
      <x:c r="H52" s="6" t="s">
        <x:v>252</x:v>
      </x:c>
      <x:c r="I52" s="8">
        <x:v>46694</x:v>
      </x:c>
      <x:c r="J52" s="8">
        <x:v>46716</x:v>
      </x:c>
      <x:c r="K52" s="6">
        <x:v>70</x:v>
      </x:c>
      <x:c r="L52" s="15" t="s">
        <x:v>58</x:v>
      </x:c>
    </x:row>
    <x:row r="53" ht="30" customHeight="1">
      <x:c r="A53" s="16" t="s">
        <x:v>253</x:v>
      </x:c>
      <x:c r="B53" s="17" t="s">
        <x:v>254</x:v>
      </x:c>
      <x:c r="C53" s="17" t="s">
        <x:v>221</x:v>
      </x:c>
      <x:c r="D53" s="17" t="s">
        <x:v>255</x:v>
      </x:c>
      <x:c r="E53" s="18">
        <x:v>0</x:v>
      </x:c>
      <x:c r="F53" s="18" t="s">
        <x:v>256</x:v>
      </x:c>
      <x:c r="G53" s="18" t="s">
        <x:v>182</x:v>
      </x:c>
      <x:c r="H53" s="18" t="s">
        <x:v>257</x:v>
      </x:c>
      <x:c r="I53" s="21">
        <x:v>46798</x:v>
      </x:c>
      <x:c r="J53" s="21">
        <x:v>46798</x:v>
      </x:c>
      <x:c r="K53" s="18">
        <x:v>0</x:v>
      </x:c>
      <x:c r="L53" s="19" t="s">
        <x:v>45</x:v>
      </x:c>
    </x:row>
  </x:sheetData>
  <x:mergeCells>
    <x:mergeCell ref="A1:L1"/>
    <x:mergeCell ref="A2:L2"/>
  </x:mergeCells>
  <x:conditionalFormatting sqref="L5:L53">
    <x:cfRule type="expression" dxfId="28" priority="1">
      <x:formula>L5="YES"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52beeb677c4528"/>
  </x:tableParts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5" style="10" customWidth="1"/>
    <x:col min="2" max="7" width="17" style="10" customWidth="1"/>
    <x:col min="8" max="8" width="48" customWidth="1"/>
    <x:col min="10" max="10" width="24" customWidth="1"/>
    <x:col min="11" max="11" width="20" customWidth="1"/>
    <x:col min="21" max="21" width="12" style="10" customWidth="1"/>
    <x:col min="22" max="22" width="14" customWidth="1"/>
  </x:cols>
  <x:sheetData>
    <x:row r="1" ht="25.049999237060547" customHeight="1">
      <x:c r="A1" s="3" t="s">
        <x:v>258</x:v>
      </x:c>
      <x:c r="B1" s="3"/>
      <x:c r="C1" s="3"/>
      <x:c r="D1" s="3"/>
      <x:c r="E1" s="3"/>
      <x:c r="F1" s="3"/>
      <x:c r="G1" s="3"/>
      <x:c r="H1" s="3"/>
      <x:c r="J1" s="22" t="s">
        <x:v>259</x:v>
      </x:c>
      <x:c r="K1" s="22" t="s">
        <x:v>260</x:v>
      </x:c>
    </x:row>
    <x:row r="2">
      <x:c r="A2" s="23" t="s">
        <x:v>261</x:v>
      </x:c>
      <x:c r="B2" s="23"/>
      <x:c r="C2" s="23"/>
      <x:c r="D2" s="23"/>
      <x:c r="E2" s="23"/>
      <x:c r="F2" s="23"/>
      <x:c r="G2" s="23"/>
      <x:c r="H2" s="23"/>
      <x:c r="J2" s="20" t="s">
        <x:v>262</x:v>
      </x:c>
      <x:c r="K2" s="30">
        <x:v>46265</x:v>
      </x:c>
    </x:row>
    <x:row r="3">
      <x:c r="J3" s="20" t="s">
        <x:v>263</x:v>
      </x:c>
      <x:c r="K3" s="26">
        <x:v>0.12095</x:v>
      </x:c>
    </x:row>
    <x:row r="4" ht="54">
      <x:c r="A4" s="11" t="s">
        <x:v>264</x:v>
      </x:c>
      <x:c r="B4" s="12" t="s">
        <x:v>265</x:v>
      </x:c>
      <x:c r="C4" s="12" t="s">
        <x:v>266</x:v>
      </x:c>
      <x:c r="D4" s="12" t="s">
        <x:v>267</x:v>
      </x:c>
      <x:c r="E4" s="12" t="s">
        <x:v>268</x:v>
      </x:c>
      <x:c r="F4" s="12" t="s">
        <x:v>269</x:v>
      </x:c>
      <x:c r="G4" s="12" t="s">
        <x:v>270</x:v>
      </x:c>
      <x:c r="H4" s="13" t="s">
        <x:v>271</x:v>
      </x:c>
      <x:c r="J4" s="20" t="s">
        <x:v>272</x:v>
      </x:c>
      <x:c r="K4" s="30">
        <x:v>46798</x:v>
      </x:c>
      <x:c r="U4" s="10" t="s">
        <x:v>273</x:v>
      </x:c>
    </x:row>
    <x:row r="5" ht="19.950000762939453" customHeight="1">
      <x:c r="A5" s="28">
        <x:v>45961</x:v>
      </x:c>
      <x:c r="B5" s="26">
        <x:v>0.01</x:v>
      </x:c>
      <x:c r="C5" s="26">
        <x:f>B5</x:f>
        <x:v>0.01</x:v>
      </x:c>
      <x:c r="D5" s="26"/>
      <x:c r="E5" s="26" t="str">
        <x:f t="shared" ref="E5:E33" si="0">IF(D5="","",D5-B5)</x:f>
      </x:c>
      <x:c r="F5" s="26" t="str">
        <x:f t="shared" ref="F5:F33" si="1">IF(A5&lt;$K$2,"",IF(A5&gt;=$K$5,1,$K$3+(1-$K$3)*(3*((A5-$K$2)/($K$5-$K$2))^2-2*((A5-$K$2)/($K$5-$K$2))^3)))</x:f>
      </x:c>
      <x:c r="G5" s="26" t="str">
        <x:f t="shared" ref="G5:G33" si="2">IF(A5&lt;$K$2,"",IF(A5&gt;=$K$6,1,$K$3+(1-$K$3)*(3*((A5-$K$2)/($K$6-$K$2))^2-2*((A5-$K$2)/($K$6-$K$2))^3)))</x:f>
      </x:c>
      <x:c r="H5" s="24"/>
      <x:c r="J5" s="20" t="s">
        <x:v>274</x:v>
      </x:c>
      <x:c r="K5" s="30">
        <x:v>46927</x:v>
      </x:c>
      <x:c r="U5" s="10" t="s">
        <x:v>275</x:v>
      </x:c>
    </x:row>
    <x:row r="6" ht="19.950000762939453" customHeight="1">
      <x:c r="A6" s="28">
        <x:v>45991</x:v>
      </x:c>
      <x:c r="B6" s="26">
        <x:v>2.5000000000000001E-2</x:v>
      </x:c>
      <x:c r="C6" s="26">
        <x:f t="shared" ref="C6:C33" si="3">B6-B5</x:f>
        <x:v>1.5000000000000001E-2</x:v>
      </x:c>
      <x:c r="D6" s="26"/>
      <x:c r="E6" s="26" t="str">
        <x:f t="shared" si="0"/>
      </x:c>
      <x:c r="F6" s="26" t="str">
        <x:f t="shared" si="1"/>
      </x:c>
      <x:c r="G6" s="26" t="str">
        <x:f t="shared" si="2"/>
      </x:c>
      <x:c r="H6" s="24"/>
      <x:c r="J6" s="20" t="s">
        <x:v>276</x:v>
      </x:c>
      <x:c r="K6" s="30">
        <x:v>46857</x:v>
      </x:c>
      <x:c r="U6" s="10" t="s">
        <x:v>277</x:v>
      </x:c>
    </x:row>
    <x:row r="7" ht="19.950000762939453" customHeight="1">
      <x:c r="A7" s="28">
        <x:v>46022</x:v>
      </x:c>
      <x:c r="B7" s="26">
        <x:v>4.4999999999999998E-2</x:v>
      </x:c>
      <x:c r="C7" s="26">
        <x:f t="shared" si="3"/>
        <x:v>1.9999999999999997E-2</x:v>
      </x:c>
      <x:c r="D7" s="26"/>
      <x:c r="E7" s="26" t="str">
        <x:f t="shared" si="0"/>
      </x:c>
      <x:c r="F7" s="26" t="str">
        <x:f t="shared" si="1"/>
      </x:c>
      <x:c r="G7" s="26" t="str">
        <x:f t="shared" si="2"/>
      </x:c>
      <x:c r="H7" s="24"/>
      <x:c r="J7" s="20" t="s">
        <x:v>278</x:v>
      </x:c>
      <x:c r="K7" s="31">
        <x:v>4.19E-2</x:v>
      </x:c>
      <x:c r="U7" s="10" t="s">
        <x:v>279</x:v>
      </x:c>
    </x:row>
    <x:row r="8" ht="19.950000762939453" customHeight="1">
      <x:c r="A8" s="28">
        <x:v>46053</x:v>
      </x:c>
      <x:c r="B8" s="26">
        <x:v>7.0000000000000007E-2</x:v>
      </x:c>
      <x:c r="C8" s="26">
        <x:f t="shared" si="3"/>
        <x:v>2.5000000000000008E-2</x:v>
      </x:c>
      <x:c r="D8" s="26"/>
      <x:c r="E8" s="26" t="str">
        <x:f t="shared" si="0"/>
      </x:c>
      <x:c r="F8" s="26" t="str">
        <x:f t="shared" si="1"/>
      </x:c>
      <x:c r="G8" s="26" t="str">
        <x:f t="shared" si="2"/>
      </x:c>
      <x:c r="H8" s="24"/>
      <x:c r="J8" s="20" t="s">
        <x:v>280</x:v>
      </x:c>
      <x:c r="K8" s="30">
        <x:v>46147</x:v>
      </x:c>
      <x:c r="U8" s="10" t="s">
        <x:v>281</x:v>
      </x:c>
    </x:row>
    <x:row r="9" ht="40.04999923706055" customHeight="1">
      <x:c r="A9" s="28">
        <x:v>46081</x:v>
      </x:c>
      <x:c r="B9" s="26">
        <x:v>0.1</x:v>
      </x:c>
      <x:c r="C9" s="26">
        <x:f t="shared" si="3"/>
        <x:v>0.03</x:v>
      </x:c>
      <x:c r="D9" s="26"/>
      <x:c r="E9" s="26" t="str">
        <x:f t="shared" si="0"/>
      </x:c>
      <x:c r="F9" s="26" t="str">
        <x:f t="shared" si="1"/>
      </x:c>
      <x:c r="G9" s="26" t="str">
        <x:f t="shared" si="2"/>
      </x:c>
      <x:c r="H9" s="24"/>
      <x:c r="J9" s="2" t="s">
        <x:v>282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10" t="s">
        <x:v>283</x:v>
      </x:c>
    </x:row>
    <x:row r="10" ht="19.950000762939453" customHeight="1">
      <x:c r="A10" s="28">
        <x:v>46112</x:v>
      </x:c>
      <x:c r="B10" s="26">
        <x:v>0.14000000000000001</x:v>
      </x:c>
      <x:c r="C10" s="26">
        <x:f t="shared" si="3"/>
        <x:v>4.0000000000000008E-2</x:v>
      </x:c>
      <x:c r="D10" s="26"/>
      <x:c r="E10" s="26" t="str">
        <x:f t="shared" si="0"/>
      </x:c>
      <x:c r="F10" s="26" t="str">
        <x:f t="shared" si="1"/>
      </x:c>
      <x:c r="G10" s="26" t="str">
        <x:f t="shared" si="2"/>
      </x:c>
      <x:c r="H10" s="24"/>
      <x:c r="U10" s="10" t="s">
        <x:v>284</x:v>
      </x:c>
    </x:row>
    <x:row r="11" ht="19.950000762939453" customHeight="1">
      <x:c r="A11" s="28">
        <x:v>46142</x:v>
      </x:c>
      <x:c r="B11" s="26">
        <x:v>0.18</x:v>
      </x:c>
      <x:c r="C11" s="26">
        <x:f t="shared" si="3"/>
        <x:v>3.999999999999998E-2</x:v>
      </x:c>
      <x:c r="D11" s="26"/>
      <x:c r="E11" s="26" t="str">
        <x:f t="shared" si="0"/>
      </x:c>
      <x:c r="F11" s="26" t="str">
        <x:f t="shared" si="1"/>
      </x:c>
      <x:c r="G11" s="26" t="str">
        <x:f t="shared" si="2"/>
      </x:c>
      <x:c r="H11" s="24"/>
      <x:c r="U11" s="10" t="s">
        <x:v>285</x:v>
      </x:c>
    </x:row>
    <x:row r="12" ht="28.799999237060547">
      <x:c r="A12" s="28">
        <x:v>46173</x:v>
      </x:c>
      <x:c r="B12" s="26">
        <x:v>0.23</x:v>
      </x:c>
      <x:c r="C12" s="26">
        <x:f t="shared" si="3"/>
        <x:v>5.0000000000000017E-2</x:v>
      </x:c>
      <x:c r="D12" s="26">
        <x:v>4.19E-2</x:v>
      </x:c>
      <x:c r="E12" s="26">
        <x:f t="shared" si="0"/>
        <x:v>-0.18810000000000002</x:v>
      </x:c>
      <x:c r="F12" s="26" t="str">
        <x:f t="shared" si="1"/>
      </x:c>
      <x:c r="G12" s="26" t="str">
        <x:f t="shared" si="2"/>
      </x:c>
      <x:c r="H12" s="24" t="s">
        <x:v>286</x:v>
      </x:c>
      <x:c r="U12" s="10" t="s">
        <x:v>287</x:v>
      </x:c>
    </x:row>
    <x:row r="13" ht="19.950000762939453" customHeight="1">
      <x:c r="A13" s="28">
        <x:v>46203</x:v>
      </x:c>
      <x:c r="B13" s="26">
        <x:v>0.28999999999999998</x:v>
      </x:c>
      <x:c r="C13" s="26">
        <x:f t="shared" si="3"/>
        <x:v>5.999999999999997E-2</x:v>
      </x:c>
      <x:c r="D13" s="26"/>
      <x:c r="E13" s="26" t="str">
        <x:f t="shared" si="0"/>
      </x:c>
      <x:c r="F13" s="26" t="str">
        <x:f t="shared" si="1"/>
      </x:c>
      <x:c r="G13" s="26" t="str">
        <x:f t="shared" si="2"/>
      </x:c>
      <x:c r="H13" s="24"/>
      <x:c r="U13" s="10" t="s">
        <x:v>288</x:v>
      </x:c>
    </x:row>
    <x:row r="14" ht="19.950000762939453" customHeight="1">
      <x:c r="A14" s="28">
        <x:v>46234</x:v>
      </x:c>
      <x:c r="B14" s="26">
        <x:v>0.35</x:v>
      </x:c>
      <x:c r="C14" s="26">
        <x:f t="shared" si="3"/>
        <x:v>0.06</x:v>
      </x:c>
      <x:c r="D14" s="26"/>
      <x:c r="E14" s="26" t="str">
        <x:f t="shared" si="0"/>
      </x:c>
      <x:c r="F14" s="26" t="str">
        <x:f t="shared" si="1"/>
      </x:c>
      <x:c r="G14" s="26" t="str">
        <x:f t="shared" si="2"/>
      </x:c>
      <x:c r="H14" s="24"/>
      <x:c r="U14" s="10" t="s">
        <x:v>289</x:v>
      </x:c>
    </x:row>
    <x:row r="15" ht="28.799999237060547">
      <x:c r="A15" s="28">
        <x:v>46265</x:v>
      </x:c>
      <x:c r="B15" s="26">
        <x:v>0.41</x:v>
      </x:c>
      <x:c r="C15" s="26">
        <x:f t="shared" si="3"/>
        <x:v>0.06</x:v>
      </x:c>
      <x:c r="D15" s="26">
        <x:v>0.12095</x:v>
      </x:c>
      <x:c r="E15" s="26">
        <x:f t="shared" si="0"/>
        <x:v>-0.28904999999999997</x:v>
      </x:c>
      <x:c r="F15" s="26">
        <x:f t="shared" si="1"/>
        <x:v>0.12095</x:v>
      </x:c>
      <x:c r="G15" s="26">
        <x:f t="shared" si="2"/>
        <x:v>0.12095</x:v>
      </x:c>
      <x:c r="H15" s="24" t="s">
        <x:v>290</x:v>
      </x:c>
      <x:c r="U15" s="10" t="s">
        <x:v>291</x:v>
      </x:c>
    </x:row>
    <x:row r="16" ht="19.950000762939453" customHeight="1">
      <x:c r="A16" s="28">
        <x:v>46295</x:v>
      </x:c>
      <x:c r="B16" s="26">
        <x:v>0.47</x:v>
      </x:c>
      <x:c r="C16" s="26">
        <x:f t="shared" si="3"/>
        <x:v>0.06</x:v>
      </x:c>
      <x:c r="D16" s="26"/>
      <x:c r="E16" s="26" t="str">
        <x:f t="shared" si="0"/>
      </x:c>
      <x:c r="F16" s="26">
        <x:f t="shared" si="1"/>
        <x:v>0.12620216549480595</x:v>
      </x:c>
      <x:c r="G16" s="26">
        <x:f t="shared" si="2"/>
        <x:v>0.12749347204030981</x:v>
      </x:c>
      <x:c r="H16" s="24"/>
      <x:c r="U16" s="10" t="s">
        <x:v>292</x:v>
      </x:c>
    </x:row>
    <x:row r="17" ht="19.950000762939453" customHeight="1">
      <x:c r="A17" s="28">
        <x:v>46326</x:v>
      </x:c>
      <x:c r="B17" s="26">
        <x:v>0.53</x:v>
      </x:c>
      <x:c r="C17" s="26">
        <x:f t="shared" si="3"/>
        <x:v>6.0000000000000053E-2</x:v>
      </x:c>
      <x:c r="D17" s="26"/>
      <x:c r="E17" s="26" t="str">
        <x:f t="shared" si="0"/>
      </x:c>
      <x:c r="F17" s="26">
        <x:f t="shared" si="1"/>
        <x:v>0.14196576424985946</x:v>
      </x:c>
      <x:c r="G17" s="26">
        <x:f t="shared" si="2"/>
        <x:v>0.14702615977087286</x:v>
      </x:c>
      <x:c r="H17" s="24"/>
      <x:c r="U17" s="10" t="s">
        <x:v>293</x:v>
      </x:c>
    </x:row>
    <x:row r="18" ht="19.950000762939453" customHeight="1">
      <x:c r="A18" s="28">
        <x:v>46356</x:v>
      </x:c>
      <x:c r="B18" s="26">
        <x:v>0.59</x:v>
      </x:c>
      <x:c r="C18" s="26">
        <x:f t="shared" si="3"/>
        <x:v>5.9999999999999942E-2</x:v>
      </x:c>
      <x:c r="D18" s="26"/>
      <x:c r="E18" s="26" t="str">
        <x:f t="shared" si="0"/>
      </x:c>
      <x:c r="F18" s="26">
        <x:f t="shared" si="1"/>
        <x:v>0.16621462510807</x:v>
      </x:c>
      <x:c r="G18" s="26">
        <x:f t="shared" si="2"/>
        <x:v>0.17687674708203441</x:v>
      </x:c>
      <x:c r="H18" s="24"/>
      <x:c r="U18" s="10" t="s">
        <x:v>294</x:v>
      </x:c>
    </x:row>
    <x:row r="19" ht="19.950000762939453" customHeight="1">
      <x:c r="A19" s="28">
        <x:v>46387</x:v>
      </x:c>
      <x:c r="B19" s="26">
        <x:v>0.65</x:v>
      </x:c>
      <x:c r="C19" s="26">
        <x:f t="shared" si="3"/>
        <x:v>6.0000000000000053E-2</x:v>
      </x:c>
      <x:c r="D19" s="26"/>
      <x:c r="E19" s="26" t="str">
        <x:f t="shared" si="0"/>
      </x:c>
      <x:c r="F19" s="26">
        <x:f t="shared" si="1"/>
        <x:v>0.19951107580097677</x:v>
      </x:c>
      <x:c r="G19" s="26">
        <x:f t="shared" si="2"/>
        <x:v>0.21756106836512029</x:v>
      </x:c>
      <x:c r="H19" s="24"/>
      <x:c r="U19" s="10" t="s">
        <x:v>295</x:v>
      </x:c>
    </x:row>
    <x:row r="20" ht="19.950000762939453" customHeight="1">
      <x:c r="A20" s="28">
        <x:v>46418</x:v>
      </x:c>
      <x:c r="B20" s="26">
        <x:v>0.71</x:v>
      </x:c>
      <x:c r="C20" s="26">
        <x:f t="shared" si="3"/>
        <x:v>5.9999999999999942E-2</x:v>
      </x:c>
      <x:c r="D20" s="26"/>
      <x:c r="E20" s="26" t="str">
        <x:f t="shared" si="0"/>
      </x:c>
      <x:c r="F20" s="26">
        <x:f t="shared" si="1"/>
        <x:v>0.24011034537561621</x:v>
      </x:c>
      <x:c r="G20" s="26">
        <x:f t="shared" si="2"/>
        <x:v>0.26674702238906367</x:v>
      </x:c>
      <x:c r="H20" s="24"/>
      <x:c r="U20" s="10" t="s">
        <x:v>296</x:v>
      </x:c>
    </x:row>
    <x:row r="21" ht="19.950000762939453" customHeight="1">
      <x:c r="A21" s="28">
        <x:v>46446</x:v>
      </x:c>
      <x:c r="B21" s="26">
        <x:v>0.76</x:v>
      </x:c>
      <x:c r="C21" s="26">
        <x:f t="shared" si="3"/>
        <x:v>5.0000000000000044E-2</x:v>
      </x:c>
      <x:c r="D21" s="26"/>
      <x:c r="E21" s="26" t="str">
        <x:f t="shared" si="0"/>
      </x:c>
      <x:c r="F21" s="26">
        <x:f t="shared" si="1"/>
        <x:v>0.28215658745306832</x:v>
      </x:c>
      <x:c r="G21" s="26">
        <x:f t="shared" si="2"/>
        <x:v>0.31722049478295877</x:v>
      </x:c>
      <x:c r="H21" s="24"/>
      <x:c r="U21" s="10" t="s">
        <x:v>297</x:v>
      </x:c>
    </x:row>
    <x:row r="22" ht="19.950000762939453" customHeight="1">
      <x:c r="A22" s="28">
        <x:v>46477</x:v>
      </x:c>
      <x:c r="B22" s="26">
        <x:v>0.81</x:v>
      </x:c>
      <x:c r="C22" s="26">
        <x:f t="shared" si="3"/>
        <x:v>5.0000000000000044E-2</x:v>
      </x:c>
      <x:c r="D22" s="26"/>
      <x:c r="E22" s="26" t="str">
        <x:f t="shared" si="0"/>
      </x:c>
      <x:c r="F22" s="26">
        <x:f t="shared" si="1"/>
        <x:v>0.33366218138326342</x:v>
      </x:c>
      <x:c r="G22" s="26">
        <x:f t="shared" si="2"/>
        <x:v>0.37840235662867944</x:v>
      </x:c>
      <x:c r="H22" s="24"/>
      <x:c r="U22" s="10" t="s">
        <x:v>298</x:v>
      </x:c>
    </x:row>
    <x:row r="23" ht="19.950000762939453" customHeight="1">
      <x:c r="A23" s="28">
        <x:v>46507</x:v>
      </x:c>
      <x:c r="B23" s="26">
        <x:v>0.86</x:v>
      </x:c>
      <x:c r="C23" s="26">
        <x:f t="shared" si="3"/>
        <x:v>4.9999999999999933E-2</x:v>
      </x:c>
      <x:c r="D23" s="26"/>
      <x:c r="E23" s="26" t="str">
        <x:f t="shared" si="0"/>
      </x:c>
      <x:c r="F23" s="26">
        <x:f t="shared" si="1"/>
        <x:v>0.38747642534717858</x:v>
      </x:c>
      <x:c r="G23" s="26">
        <x:f t="shared" si="2"/>
        <x:v>0.44153389689637701</x:v>
      </x:c>
      <x:c r="H23" s="24"/>
      <x:c r="U23" s="10" t="s">
        <x:v>299</x:v>
      </x:c>
    </x:row>
    <x:row r="24" ht="19.950000762939453" customHeight="1">
      <x:c r="A24" s="28">
        <x:v>46538</x:v>
      </x:c>
      <x:c r="B24" s="26">
        <x:v>0.9</x:v>
      </x:c>
      <x:c r="C24" s="26">
        <x:f t="shared" si="3"/>
        <x:v>4.0000000000000036E-2</x:v>
      </x:c>
      <x:c r="D24" s="26"/>
      <x:c r="E24" s="26" t="str">
        <x:f t="shared" si="0"/>
      </x:c>
      <x:c r="F24" s="26">
        <x:f t="shared" si="1"/>
        <x:v>0.44613267261673339</x:v>
      </x:c>
      <x:c r="G24" s="26">
        <x:f t="shared" si="2"/>
        <x:v>0.50934968017447979</x:v>
      </x:c>
      <x:c r="H24" s="24"/>
      <x:c r="U24" s="10" t="s">
        <x:v>300</x:v>
      </x:c>
    </x:row>
    <x:row r="25" ht="19.950000762939453" customHeight="1">
      <x:c r="A25" s="28">
        <x:v>46568</x:v>
      </x:c>
      <x:c r="B25" s="26">
        <x:v>0.93</x:v>
      </x:c>
      <x:c r="C25" s="26">
        <x:f t="shared" si="3"/>
        <x:v>3.0000000000000027E-2</x:v>
      </x:c>
      <x:c r="D25" s="26"/>
      <x:c r="E25" s="26" t="str">
        <x:f t="shared" si="0"/>
      </x:c>
      <x:c r="F25" s="26">
        <x:f t="shared" si="1"/>
        <x:v>0.50483748438874065</x:v>
      </x:c>
      <x:c r="G25" s="26">
        <x:f t="shared" si="2"/>
        <x:v>0.57606335193091129</x:v>
      </x:c>
      <x:c r="H25" s="24"/>
      <x:c r="U25" s="10" t="s">
        <x:v>301</x:v>
      </x:c>
    </x:row>
    <x:row r="26" ht="19.950000762939453" customHeight="1">
      <x:c r="A26" s="28">
        <x:v>46599</x:v>
      </x:c>
      <x:c r="B26" s="26">
        <x:v>0.95</x:v>
      </x:c>
      <x:c r="C26" s="26">
        <x:f t="shared" si="3"/>
        <x:v>1.9999999999999907E-2</x:v>
      </x:c>
      <x:c r="D26" s="26"/>
      <x:c r="E26" s="26" t="str">
        <x:f t="shared" si="0"/>
      </x:c>
      <x:c r="F26" s="26">
        <x:f t="shared" si="1"/>
        <x:v>0.56645025178899222</x:v>
      </x:c>
      <x:c r="G26" s="26">
        <x:f t="shared" si="2"/>
        <x:v>0.64464828552001485</x:v>
      </x:c>
      <x:c r="H26" s="24"/>
      <x:c r="U26" s="10" t="s">
        <x:v>302</x:v>
      </x:c>
    </x:row>
    <x:row r="27" ht="19.950000762939453" customHeight="1">
      <x:c r="A27" s="28">
        <x:v>46630</x:v>
      </x:c>
      <x:c r="B27" s="26">
        <x:v>0.97</x:v>
      </x:c>
      <x:c r="C27" s="26">
        <x:f t="shared" si="3"/>
        <x:v>2.0000000000000018E-2</x:v>
      </x:c>
      <x:c r="D27" s="26"/>
      <x:c r="E27" s="26" t="str">
        <x:f t="shared" si="0"/>
      </x:c>
      <x:c r="F27" s="26">
        <x:f t="shared" si="1"/>
        <x:v>0.62795819403783149</x:v>
      </x:c>
      <x:c r="G27" s="26">
        <x:f t="shared" si="2"/>
        <x:v>0.71137654069444844</x:v>
      </x:c>
      <x:c r="H27" s="24"/>
      <x:c r="U27" s="10" t="s">
        <x:v>303</x:v>
      </x:c>
    </x:row>
    <x:row r="28" ht="19.950000762939453" customHeight="1">
      <x:c r="A28" s="28">
        <x:v>46660</x:v>
      </x:c>
      <x:c r="B28" s="26">
        <x:v>0.98499999999999999</x:v>
      </x:c>
      <x:c r="C28" s="26">
        <x:f t="shared" si="3"/>
        <x:v>1.5000000000000013E-2</x:v>
      </x:c>
      <x:c r="D28" s="26"/>
      <x:c r="E28" s="26" t="str">
        <x:f t="shared" si="0"/>
      </x:c>
      <x:c r="F28" s="26">
        <x:f t="shared" si="1"/>
        <x:v>0.6863619471023481</x:v>
      </x:c>
      <x:c r="G28" s="26">
        <x:f t="shared" si="2"/>
        <x:v>0.77275781658772758</x:v>
      </x:c>
      <x:c r="H28" s="24"/>
      <x:c r="U28" s="10" t="s">
        <x:v>304</x:v>
      </x:c>
    </x:row>
    <x:row r="29" ht="19.950000762939453" customHeight="1">
      <x:c r="A29" s="28">
        <x:v>46691</x:v>
      </x:c>
      <x:c r="B29" s="26">
        <x:v>0.99299999999999999</x:v>
      </x:c>
      <x:c r="C29" s="26">
        <x:f t="shared" si="3"/>
        <x:v>8.0000000000000071E-3</x:v>
      </x:c>
      <x:c r="D29" s="26"/>
      <x:c r="E29" s="26" t="str">
        <x:f t="shared" si="0"/>
      </x:c>
      <x:c r="F29" s="26">
        <x:f t="shared" si="1"/>
        <x:v>0.74450083152783497</x:v>
      </x:c>
      <x:c r="G29" s="26">
        <x:f t="shared" si="2"/>
        <x:v>0.83140999349665246</x:v>
      </x:c>
      <x:c r="H29" s="24"/>
      <x:c r="U29" s="10" t="s">
        <x:v>305</x:v>
      </x:c>
    </x:row>
    <x:row r="30" ht="19.950000762939453" customHeight="1">
      <x:c r="A30" s="28">
        <x:v>46721</x:v>
      </x:c>
      <x:c r="B30" s="26">
        <x:v>0.997</x:v>
      </x:c>
      <x:c r="C30" s="26">
        <x:f t="shared" si="3"/>
        <x:v>4.0000000000000036E-3</x:v>
      </x:c>
      <x:c r="D30" s="26"/>
      <x:c r="E30" s="26" t="str">
        <x:f t="shared" si="0"/>
      </x:c>
      <x:c r="F30" s="26">
        <x:f t="shared" si="1"/>
        <x:v>0.79761478675910968</x:v>
      </x:c>
      <x:c r="G30" s="26">
        <x:f t="shared" si="2"/>
        <x:v>0.88213791730006119</x:v>
      </x:c>
      <x:c r="H30" s="24"/>
      <x:c r="U30" s="10" t="s">
        <x:v>306</x:v>
      </x:c>
    </x:row>
    <x:row r="31" ht="19.950000762939453" customHeight="1">
      <x:c r="A31" s="28">
        <x:v>46752</x:v>
      </x:c>
      <x:c r="B31" s="26">
        <x:v>1</x:v>
      </x:c>
      <x:c r="C31" s="26">
        <x:f t="shared" si="3"/>
        <x:v>3.0000000000000027E-3</x:v>
      </x:c>
      <x:c r="D31" s="26"/>
      <x:c r="E31" s="26" t="str">
        <x:f t="shared" si="0"/>
      </x:c>
      <x:c r="F31" s="26">
        <x:f t="shared" si="1"/>
        <x:v>0.84819048015258158</x:v>
      </x:c>
      <x:c r="G31" s="26">
        <x:f t="shared" si="2"/>
        <x:v>0.92684924482209585</x:v>
      </x:c>
      <x:c r="H31" s="24"/>
      <x:c r="U31" s="10" t="s">
        <x:v>307</x:v>
      </x:c>
    </x:row>
    <x:row r="32" ht="19.950000762939453" customHeight="1">
      <x:c r="A32" s="28">
        <x:v>46783</x:v>
      </x:c>
      <x:c r="B32" s="26">
        <x:v>1</x:v>
      </x:c>
      <x:c r="C32" s="26">
        <x:f t="shared" si="3"/>
        <x:v>0</x:v>
      </x:c>
      <x:c r="D32" s="26"/>
      <x:c r="E32" s="26" t="str">
        <x:f t="shared" si="0"/>
      </x:c>
      <x:c r="F32" s="26">
        <x:f t="shared" si="1"/>
        <x:v>0.89331526567260711</x:v>
      </x:c>
      <x:c r="G32" s="26">
        <x:f t="shared" si="2"/>
        <x:v>0.96222832031250005</x:v>
      </x:c>
      <x:c r="H32" s="24"/>
      <x:c r="U32" s="10" t="s">
        <x:v>308</x:v>
      </x:c>
    </x:row>
    <x:row r="33" ht="19.950000762939453" customHeight="1">
      <x:c r="A33" s="29">
        <x:v>46812</x:v>
      </x:c>
      <x:c r="B33" s="27">
        <x:v>1</x:v>
      </x:c>
      <x:c r="C33" s="27">
        <x:f t="shared" si="3"/>
        <x:v>0</x:v>
      </x:c>
      <x:c r="D33" s="27"/>
      <x:c r="E33" s="27" t="str">
        <x:f t="shared" si="0"/>
      </x:c>
      <x:c r="F33" s="27">
        <x:f t="shared" si="1"/>
        <x:v>0.92963449607567306</x:v>
      </x:c>
      <x:c r="G33" s="27">
        <x:f t="shared" si="2"/>
        <x:v>0.98553457972907055</x:v>
      </x:c>
      <x:c r="H33" s="25"/>
      <x:c r="U33" s="10" t="s">
        <x:v>309</x:v>
      </x:c>
    </x:row>
    <x:row r="35">
      <x:c r="A35" s="9" t="s">
        <x:v>310</x:v>
      </x:c>
      <x:c r="B35" s="9"/>
      <x:c r="C35" s="9"/>
      <x:c r="D35" s="9"/>
      <x:c r="E35" s="9"/>
      <x:c r="F35" s="9"/>
      <x:c r="G35" s="9"/>
      <x:c r="H35" s="9"/>
    </x:row>
    <x:row r="36">
      <x:c r="A36" s="9"/>
      <x:c r="B36" s="9"/>
      <x:c r="C36" s="9"/>
      <x:c r="D36" s="9"/>
      <x:c r="E36" s="9"/>
      <x:c r="F36" s="9"/>
      <x:c r="G36" s="9"/>
      <x:c r="H36" s="9"/>
    </x:row>
    <x:row r="37">
      <x:c r="A37" s="9"/>
      <x:c r="B37" s="9"/>
      <x:c r="C37" s="9"/>
      <x:c r="D37" s="9"/>
      <x:c r="E37" s="9"/>
      <x:c r="F37" s="9"/>
      <x:c r="G37" s="9"/>
      <x:c r="H37" s="9"/>
    </x:row>
  </x:sheetData>
  <x:mergeCells>
    <x:mergeCell ref="A1:H1"/>
    <x:mergeCell ref="A2:H2"/>
    <x:mergeCell ref="A35:H37"/>
    <x:mergeCell ref="J9:T9"/>
  </x:mergeCells>
  <x:pageMargins left="0.7" right="0.7" top="0.75" bottom="0.75" header="0.3" footer="0.3"/>
  <x:drawing xmlns:r="http://schemas.openxmlformats.org/officeDocument/2006/relationships" r:id="Rf1e0884a465844e0"/>
  <x:tableParts count="1">
    <x:tablePart xmlns:r="http://schemas.openxmlformats.org/officeDocument/2006/relationships" r:id="Rb3783af85eb6493c"/>
  </x:tableParts>
</x:worksheet>
</file>