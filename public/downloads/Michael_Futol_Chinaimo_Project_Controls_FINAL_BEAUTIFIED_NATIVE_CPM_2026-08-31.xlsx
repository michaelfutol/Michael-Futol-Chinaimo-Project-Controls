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51202ea27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29b76f6403ff4646"/>
    <x:sheet xmlns:r="http://schemas.openxmlformats.org/officeDocument/2006/relationships" name="01_BOQ" sheetId="2" r:id="Rf83da97c547e469a"/>
    <x:sheet xmlns:r="http://schemas.openxmlformats.org/officeDocument/2006/relationships" name="02_STATUS" sheetId="3" r:id="R1632e7778a714324"/>
    <x:sheet xmlns:r="http://schemas.openxmlformats.org/officeDocument/2006/relationships" name="03_PROGRESS" sheetId="4" r:id="R3f49284b67904f93"/>
    <x:sheet xmlns:r="http://schemas.openxmlformats.org/officeDocument/2006/relationships" name="04_RECOVERY" sheetId="5" r:id="Rb9144a8993c54539"/>
    <x:sheet xmlns:r="http://schemas.openxmlformats.org/officeDocument/2006/relationships" name="05_SOURCES" sheetId="6" r:id="Re97749146d8d468e"/>
    <x:sheet xmlns:r="http://schemas.openxmlformats.org/officeDocument/2006/relationships" name="06_IPC_SAMPLE" sheetId="7" r:id="Rcf1b489b30a94e0e"/>
  </x:sheets>
</x:workbook>
</file>

<file path=xl/sharedStrings.xml><?xml version="1.0" encoding="utf-8"?>
<x:sst xmlns:x="http://schemas.openxmlformats.org/spreadsheetml/2006/main">
  <x:si>
    <x:t xml:space="preserve">MICHAEL FUTOL — CHINAIMO PROJECT CONTROLS ASSESSMENT</x:t>
  </x:si>
  <x:si>
    <x:t xml:space="preserve">Lean reviewer workbook. Public facts are separated from assessment simulation. Data date for the simulated current status: 31-Aug-2026.</x:t>
  </x:si>
  <x:si>
    <x:t xml:space="preserve">PUBLIC ANCHOR</x:t>
  </x:si>
  <x:si>
    <x:t xml:space="preserve">VALUE</x:t>
  </x:si>
  <x:si>
    <x:t xml:space="preserve">BASIS</x:t>
  </x:si>
  <x:si>
    <x:t xml:space="preserve">CURRENT ASSESSMENT</x:t>
  </x:si>
  <x:si>
    <x:t xml:space="preserve">MODEL</x:t>
  </x:si>
  <x:si>
    <x:t xml:space="preserve">FORECAST</x:t>
  </x:si>
  <x:si>
    <x:t xml:space="preserve">Construction start</x:t>
  </x:si>
  <x:si>
    <x:t xml:space="preserve">Oct-2025</x:t>
  </x:si>
  <x:si>
    <x:t xml:space="preserve">Public</x:t>
  </x:si>
  <x:si>
    <x:t xml:space="preserve">Simulated current progress</x:t>
  </x:si>
  <x:si>
    <x:t xml:space="preserve">Assessment only</x:t>
  </x:si>
  <x:si>
    <x:t xml:space="preserve">Baseline</x:t>
  </x:si>
  <x:si>
    <x:t xml:space="preserve">Implementation period</x:t>
  </x:si>
  <x:si>
    <x:t xml:space="preserve">30 months</x:t>
  </x:si>
  <x:si>
    <x:t xml:space="preserve">Status / Data Date</x:t>
  </x:si>
  <x:si>
    <x:t xml:space="preserve">Assessment date</x:t>
  </x:si>
  <x:si>
    <x:t xml:space="preserve">Actual Progress</x:t>
  </x:si>
  <x:si>
    <x:t xml:space="preserve">Public progress checkpoint</x:t>
  </x:si>
  <x:si>
    <x:t xml:space="preserve">05-May-2026</x:t>
  </x:si>
  <x:si>
    <x:t xml:space="preserve">Latest public % found</x:t>
  </x:si>
  <x:si>
    <x:t xml:space="preserve">No newer public project % found</x:t>
  </x:si>
  <x:si>
    <x:t xml:space="preserve">Recovery</x:t>
  </x:si>
  <x:si>
    <x:t xml:space="preserve">Public current completion target</x:t>
  </x:si>
  <x:si>
    <x:t xml:space="preserve">July 2028</x:t>
  </x:si>
  <x:si>
    <x:t xml:space="preserve">Derived from 02_STATUS</x:t>
  </x:si>
  <x:si>
    <x:t xml:space="preserve">Recovery gain vs current</x:t>
  </x:si>
  <x:si>
    <x:t xml:space="preserve">60 wd</x:t>
  </x:si>
  <x:si>
    <x:t xml:space="preserve">Public package value</x:t>
  </x:si>
  <x:si>
    <x:t xml:space="preserve">¥6,478,257,873</x:t>
  </x:si>
  <x:si>
    <x:t xml:space="preserve">Public report</x:t>
  </x:si>
  <x:si>
    <x:t xml:space="preserve">Model boundary</x:t>
  </x:si>
  <x:si>
    <x:t xml:space="preserve">Public facts + simulation</x:t>
  </x:si>
  <x:si>
    <x:t xml:space="preserve">No confidential Kubota data</x:t>
  </x:si>
  <x:si>
    <x:t xml:space="preserve">Residual vs baseline</x:t>
  </x:si>
  <x:si>
    <x:t xml:space="preserve">51 wd</x:t>
  </x:si>
  <x:si>
    <x:t xml:space="preserve">ONE SENTENCE TO DEFEND THE MODEL</x:t>
  </x:si>
  <x:si>
    <x:t xml:space="preserve">The only published overall progress percentage used as fact is 4.19% at 05-May-2026; the 31-Aug-2026 status is a transparent assessment simulation (12.10%) built only to demonstrate how I would update, forecast and recover a live programme.</x:t>
  </x:si>
  <x:si>
    <x:t xml:space="preserve">BASELINE CONTROL</x:t>
  </x:si>
  <x:si>
    <x:t xml:space="preserve">Original Contract Baseline (Rev 0)</x:t>
  </x:si>
  <x:si>
    <x:t xml:space="preserve">FROZEN / PRISTINE</x:t>
  </x:si>
  <x:si>
    <x:t xml:space="preserve">Original approved reference is retained unchanged for full traceability.</x:t>
  </x:si>
  <x:si>
    <x:t xml:space="preserve">Approved Revised Baseline (Rev n)</x:t>
  </x:si>
  <x:si>
    <x:t xml:space="preserve">FORMAL APPROVAL ONLY</x:t>
  </x:si>
  <x:si>
    <x:t xml:space="preserve">Create only after approved Variation/EOT/authorized change, with approval reference and effective date.</x:t>
  </x:si>
  <x:si>
    <x:t xml:space="preserve">Monthly Working Update</x:t>
  </x:si>
  <x:si>
    <x:t xml:space="preserve">EACH REPORTING PERIOD</x:t>
  </x:si>
  <x:si>
    <x:t xml:space="preserve">Update actuals and remaining forecast monthly; do not redefine or overwrite the approved baseline.</x:t>
  </x:si>
  <x:si>
    <x:t xml:space="preserve">Control Rule</x:t>
  </x:si>
  <x:si>
    <x:t xml:space="preserve">KEEP REV 0</x:t>
  </x:si>
  <x:si>
    <x:t xml:space="preserve">Even after an approved rebaseline, keep the original contract baseline available and identifiable.</x:t>
  </x:si>
  <x:si>
    <x:t xml:space="preserve">SAMPLE IPC — 31-Aug-2026: monthly assessment certificate included in 06_IPC_SAMPLE; commercial terms remain illustrative unless supported by CP-1 Particular Conditions.</x:t>
  </x:si>
  <x:si>
    <x:t xml:space="preserve">MODEL BOUNDARY — Do not present simulated task actuals, quantities, rates, delay entitlement, payment terms or recovery commitments as Kubota records.</x:t>
  </x:si>
  <x:si>
    <x:t xml:space="preserve">ASSESSMENT BOQ / CONTROL BUDGET</x:t>
  </x:si>
  <x:si>
    <x:t xml:space="preserve">Illustrative quantities and rates for method demonstration only. They are not Kubota's contract BOQ.</x:t>
  </x:si>
  <x:si>
    <x:t xml:space="preserve">BOQ ID</x:t>
  </x:si>
  <x:si>
    <x:t xml:space="preserve">Work Package</x:t>
  </x:si>
  <x:si>
    <x:t xml:space="preserve">Unit</x:t>
  </x:si>
  <x:si>
    <x:t xml:space="preserve">Qty</x:t>
  </x:si>
  <x:si>
    <x:t xml:space="preserve">Rate (JPY)</x:t>
  </x:si>
  <x:si>
    <x:t xml:space="preserve">Control Amount (JPY)</x:t>
  </x:si>
  <x:si>
    <x:t xml:space="preserve">Weight %</x:t>
  </x:si>
  <x:si>
    <x:t xml:space="preserve">Boundary</x:t>
  </x:si>
  <x:si>
    <x:t xml:space="preserve">PREL-001</x:t>
  </x:si>
  <x:si>
    <x:t xml:space="preserve">Preliminaries / Temporary Works</x:t>
  </x:si>
  <x:si>
    <x:t xml:space="preserve">LS</x:t>
  </x:si>
  <x:si>
    <x:t xml:space="preserve">Assessment</x:t>
  </x:si>
  <x:si>
    <x:t xml:space="preserve">CIV-001</x:t>
  </x:si>
  <x:si>
    <x:t xml:space="preserve">Earthworks / Excavation / Dewatering</x:t>
  </x:si>
  <x:si>
    <x:t xml:space="preserve">m³</x:t>
  </x:si>
  <x:si>
    <x:t xml:space="preserve">RC-001</x:t>
  </x:si>
  <x:si>
    <x:t xml:space="preserve">Structural Concrete</x:t>
  </x:si>
  <x:si>
    <x:t xml:space="preserve">RB-001</x:t>
  </x:si>
  <x:si>
    <x:t xml:space="preserve">Reinforcement Steel</x:t>
  </x:si>
  <x:si>
    <x:t xml:space="preserve">t</x:t>
  </x:si>
  <x:si>
    <x:t xml:space="preserve">FW-001</x:t>
  </x:si>
  <x:si>
    <x:t xml:space="preserve">Formwork</x:t>
  </x:si>
  <x:si>
    <x:t xml:space="preserve">m²</x:t>
  </x:si>
  <x:si>
    <x:t xml:space="preserve">WPF-001</x:t>
  </x:si>
  <x:si>
    <x:t xml:space="preserve">Waterproofing / Protective Coating</x:t>
  </x:si>
  <x:si>
    <x:t xml:space="preserve">MECH-001</x:t>
  </x:si>
  <x:si>
    <x:t xml:space="preserve">Process Piping / Mechanical</x:t>
  </x:si>
  <x:si>
    <x:t xml:space="preserve">PMP-001</x:t>
  </x:si>
  <x:si>
    <x:t xml:space="preserve">Pumps / Major Mechanical Equipment</x:t>
  </x:si>
  <x:si>
    <x:t xml:space="preserve">CHEM-001</x:t>
  </x:si>
  <x:si>
    <x:t xml:space="preserve">Chemical Dosing Systems</x:t>
  </x:si>
  <x:si>
    <x:t xml:space="preserve">ELEC-001</x:t>
  </x:si>
  <x:si>
    <x:t xml:space="preserve">Electrical / MCC / Cabling</x:t>
  </x:si>
  <x:si>
    <x:t xml:space="preserve">SCADA-001</x:t>
  </x:si>
  <x:si>
    <x:t xml:space="preserve">Instrumentation / SCADA</x:t>
  </x:si>
  <x:si>
    <x:t xml:space="preserve">PWR-001</x:t>
  </x:si>
  <x:si>
    <x:t xml:space="preserve">22-kV Off-site Power Works</x:t>
  </x:si>
  <x:si>
    <x:t xml:space="preserve">BLDG-001</x:t>
  </x:si>
  <x:si>
    <x:t xml:space="preserve">Administration / Lab / Support Buildings</x:t>
  </x:si>
  <x:si>
    <x:t xml:space="preserve">COMM-001</x:t>
  </x:si>
  <x:si>
    <x:t xml:space="preserve">Testing / Commissioning / Handover</x:t>
  </x:si>
  <x:si>
    <x:t xml:space="preserve">TOTAL</x:t>
  </x:si>
  <x:si>
    <x:t xml:space="preserve">CHECK</x:t>
  </x:si>
  <x:si>
    <x:t xml:space="preserve">PROGRESS STATUS — PUBLIC CHECKPOINT → SIMULATED CURRENT STATUS</x:t>
  </x:si>
  <x:si>
    <x:t xml:space="preserve">05-May-2026 overall progress (4.19%) is public. Item-level allocations in both columns are assessment reconstructions; 31-Aug-2026 is a conservative simulated update, not a claimed actual Kubota record.</x:t>
  </x:si>
  <x:si>
    <x:t xml:space="preserve">05-May-2026 Allocation %</x:t>
  </x:si>
  <x:si>
    <x:t xml:space="preserve">31-Aug-2026 Simulated %</x:t>
  </x:si>
  <x:si>
    <x:t xml:space="preserve">Earned Weight @ May</x:t>
  </x:si>
  <x:si>
    <x:t xml:space="preserve">Earned Weight @ Aug</x:t>
  </x:si>
  <x:si>
    <x:t xml:space="preserve">TOTAL WEIGHTED PROJECT PROGRESS</x:t>
  </x:si>
  <x:si>
    <x:t xml:space="preserve">Assessment rationale for 12.10%: four months after the 4.19% public checkpoint, the simulation assumes continued early-civil ramp-up (earthworks, concrete, rebar/formwork, buildings and limited power works) while most MEP/SCADA/commissioning remains near zero. This is intentionally modest.</x:t>
  </x:si>
  <x:si>
    <x:t xml:space="preserve">MONTHLY PROGRESS / REPORTING REGISTER</x:t>
  </x:si>
  <x:si>
    <x:t xml:space="preserve">Assessment convention: monthly reporting. Exact CP-1 billing cut-off / Particular Conditions were not found publicly. 4.19% at 05-May-2026 is public; 12.10% at 31-Aug-2026 is simulated.</x:t>
  </x:si>
  <x:si>
    <x:t xml:space="preserve">Period</x:t>
  </x:si>
  <x:si>
    <x:t xml:space="preserve">Cut-off / Status Date</x:t>
  </x:si>
  <x:si>
    <x:t xml:space="preserve">Cumulative Progress</x:t>
  </x:si>
  <x:si>
    <x:t xml:space="preserve">Basis</x:t>
  </x:si>
  <x:si>
    <x:t xml:space="preserve">Baseline Reference</x:t>
  </x:si>
  <x:si>
    <x:t xml:space="preserve">Note</x:t>
  </x:si>
  <x:si>
    <x:t xml:space="preserve">Monthly period</x:t>
  </x:si>
  <x:si>
    <x:t xml:space="preserve">Original Contract Baseline Rev 0</x:t>
  </x:si>
  <x:si>
    <x:t xml:space="preserve">Populate from measured work when actual records exist.</x:t>
  </x:si>
  <x:si>
    <x:t xml:space="preserve">Nov-2025</x:t>
  </x:si>
  <x:si>
    <x:t xml:space="preserve">Dec-2025</x:t>
  </x:si>
  <x:si>
    <x:t xml:space="preserve">Jan-2026</x:t>
  </x:si>
  <x:si>
    <x:t xml:space="preserve">Feb-2026</x:t>
  </x:si>
  <x:si>
    <x:t xml:space="preserve">Mar-2026</x:t>
  </x:si>
  <x:si>
    <x:t xml:space="preserve">Apr-2026</x:t>
  </x:si>
  <x:si>
    <x:t xml:space="preserve">May-2026</x:t>
  </x:si>
  <x:si>
    <x:t xml:space="preserve">PUBLIC CHECKPOINT</x:t>
  </x:si>
  <x:si>
    <x:t xml:space="preserve">Public overall project progress checkpoint.</x:t>
  </x:si>
  <x:si>
    <x:t xml:space="preserve">Jun-2026</x:t>
  </x:si>
  <x:si>
    <x:t xml:space="preserve">Jul-2026</x:t>
  </x:si>
  <x:si>
    <x:t xml:space="preserve">Aug-2026</x:t>
  </x:si>
  <x:si>
    <x:t xml:space="preserve">ASSESSMENT</x:t>
  </x:si>
  <x:si>
    <x:t xml:space="preserve">Current simulated status; not a claimed Kubota record.</x:t>
  </x:si>
  <x:si>
    <x:t xml:space="preserve">BASELINE REVISION RULE</x:t>
  </x:si>
  <x:si>
    <x:t xml:space="preserve">Control State</x:t>
  </x:si>
  <x:si>
    <x:t xml:space="preserve">Revision</x:t>
  </x:si>
  <x:si>
    <x:t xml:space="preserve">Rule</x:t>
  </x:si>
  <x:si>
    <x:t xml:space="preserve">Original Contract Baseline</x:t>
  </x:si>
  <x:si>
    <x:t xml:space="preserve">Rev 0</x:t>
  </x:si>
  <x:si>
    <x:t xml:space="preserve">Frozen / pristine / never overwritten.</x:t>
  </x:si>
  <x:si>
    <x:t xml:space="preserve">Approved Revised Baseline</x:t>
  </x:si>
  <x:si>
    <x:t xml:space="preserve">Rev n</x:t>
  </x:si>
  <x:si>
    <x:t xml:space="preserve">Create only after formal approval of Variation/EOT/change; retain Rev 0.</x:t>
  </x:si>
  <x:si>
    <x:t xml:space="preserve">Current</x:t>
  </x:si>
  <x:si>
    <x:t xml:space="preserve">Update actuals and remaining forecast each reporting period against the currently approved baseline.</x:t>
  </x:si>
  <x:si>
    <x:t xml:space="preserve">THREE-MODEL SCHEDULE CONTROL</x:t>
  </x:si>
  <x:si>
    <x:t xml:space="preserve">Baseline → Actual Progress → Recovery. Data Date: 31-Aug-2026. Native Microsoft Project CPM recalculation governs the forecast; July-2028 remains a separate public target reference.</x:t>
  </x:si>
  <x:si>
    <x:t xml:space="preserve">Model</x:t>
  </x:si>
  <x:si>
    <x:t xml:space="preserve">Data / Anchor Date</x:t>
  </x:si>
  <x:si>
    <x:t xml:space="preserve">Forecast Finish</x:t>
  </x:si>
  <x:si>
    <x:t xml:space="preserve">Δ vs Baseline (wd)</x:t>
  </x:si>
  <x:si>
    <x:t xml:space="preserve">Gain vs Current (wd)</x:t>
  </x:si>
  <x:si>
    <x:t xml:space="preserve">Purpose</x:t>
  </x:si>
  <x:si>
    <x:t xml:space="preserve">Native File</x:t>
  </x:si>
  <x:si>
    <x:t xml:space="preserve">1 – Baseline</x:t>
  </x:si>
  <x:si>
    <x:t xml:space="preserve">Preserved assessment CPM reference</x:t>
  </x:si>
  <x:si>
    <x:t xml:space="preserve">Exact start day and detailed logic are assessment conventions</x:t>
  </x:si>
  <x:si>
    <x:t xml:space="preserve">Michael_Futol_Chinaimo_Baseline.mpp</x:t>
  </x:si>
  <x:si>
    <x:t xml:space="preserve">2 – Actual Progress</x:t>
  </x:si>
  <x:si>
    <x:t xml:space="preserve">Current status / native CPM forecast</x:t>
  </x:si>
  <x:si>
    <x:t xml:space="preserve">12.10% status is assessment-simulated; July-2028 is the public target reference, not a forced CPM finish</x:t>
  </x:si>
  <x:si>
    <x:t xml:space="preserve">Michael_Futol_Chinaimo_Actual_Progress.mpp</x:t>
  </x:si>
  <x:si>
    <x:t xml:space="preserve">3 – Recovery</x:t>
  </x:si>
  <x:si>
    <x:t xml:space="preserve">Partial recovery from the native current model</x:t>
  </x:si>
  <x:si>
    <x:t xml:space="preserve">60 wd recovered by native CPM; 51 wd remains vs baseline. Field validation required before commitment</x:t>
  </x:si>
  <x:si>
    <x:t xml:space="preserve">Michael_Futol_Chinaimo_Recovery.mpp</x:t>
  </x:si>
  <x:si>
    <x:t xml:space="preserve">Recovery Action</x:t>
  </x:si>
  <x:si>
    <x:t xml:space="preserve">Assessment Change</x:t>
  </x:si>
  <x:si>
    <x:t xml:space="preserve">Target Gain (wd)</x:t>
  </x:si>
  <x:si>
    <x:t xml:space="preserve">Why</x:t>
  </x:si>
  <x:si>
    <x:t xml:space="preserve">Execution Gate</x:t>
  </x:si>
  <x:si>
    <x:t xml:space="preserve">Key Risk</x:t>
  </x:si>
  <x:si>
    <x:t xml:space="preserve">Owner / Interface</x:t>
  </x:si>
  <x:si>
    <x:t xml:space="preserve">Status</x:t>
  </x:si>
  <x:si>
    <x:t xml:space="preserve">Sedimentation basin workfront</x:t>
  </x:si>
  <x:si>
    <x:t xml:space="preserve">Remaining duration -20 wd</x:t>
  </x:si>
  <x:si>
    <x:t xml:space="preserve">Sectional fronts / tighter release</x:t>
  </x:si>
  <x:si>
    <x:t xml:space="preserve">Drawings, access, QA hold points</x:t>
  </x:si>
  <x:si>
    <x:t xml:space="preserve">Congestion / rework</x:t>
  </x:si>
  <x:si>
    <x:t xml:space="preserve">Construction + QA/QC</x:t>
  </x:si>
  <x:si>
    <x:t xml:space="preserve">Rapid sand filter structure</x:t>
  </x:si>
  <x:si>
    <x:t xml:space="preserve">Remaining duration -15 wd</x:t>
  </x:si>
  <x:si>
    <x:t xml:space="preserve">Earlier interface release</x:t>
  </x:si>
  <x:si>
    <x:t xml:space="preserve">IFC, materials, inspection readiness</x:t>
  </x:si>
  <x:si>
    <x:t xml:space="preserve">Interface clashes</x:t>
  </x:si>
  <x:si>
    <x:t xml:space="preserve">Construction + Engineering</x:t>
  </x:si>
  <x:si>
    <x:t xml:space="preserve">Internal channels / galleries</x:t>
  </x:si>
  <x:si>
    <x:t xml:space="preserve">Remaining duration -10 wd</x:t>
  </x:si>
  <x:si>
    <x:t xml:space="preserve">Zone-by-zone handover</x:t>
  </x:si>
  <x:si>
    <x:t xml:space="preserve">Access, waterproofing, inspections</x:t>
  </x:si>
  <x:si>
    <x:t xml:space="preserve">Out-of-sequence work</x:t>
  </x:si>
  <x:si>
    <x:t xml:space="preserve">Process piping installation</x:t>
  </x:si>
  <x:si>
    <x:t xml:space="preserve">Area handover / support readiness</x:t>
  </x:si>
  <x:si>
    <x:t xml:space="preserve">Approved drawings, materials, access</x:t>
  </x:si>
  <x:si>
    <x:t xml:space="preserve">Rework / congestion</x:t>
  </x:si>
  <x:si>
    <x:t xml:space="preserve">M&amp;E + Procurement</x:t>
  </x:si>
  <x:si>
    <x:t xml:space="preserve">Punch list / rectification</x:t>
  </x:si>
  <x:si>
    <x:t xml:space="preserve">Remaining duration -5 wd</x:t>
  </x:si>
  <x:si>
    <x:t xml:space="preserve">Progressive punch closure</x:t>
  </x:si>
  <x:si>
    <x:t xml:space="preserve">Turnover dossiers / test packs</x:t>
  </x:si>
  <x:si>
    <x:t xml:space="preserve">Late hidden defects</x:t>
  </x:si>
  <x:si>
    <x:t xml:space="preserve">Commissioning + QA/QC</x:t>
  </x:si>
  <x:si>
    <x:t xml:space="preserve">Control rule: no recovery duration reduction becomes a commitment until Construction, Engineering, Procurement, QA/QC, HSE and Commercial validate resources, constructability, cost and risk.</x:t>
  </x:si>
  <x:si>
    <x:t xml:space="preserve">PUBLIC SOURCE BASIS / DATA BOUNDARY</x:t>
  </x:si>
  <x:si>
    <x:t xml:space="preserve">Use public records only for public facts. Anything not supported by those records is labelled assessment simulation.</x:t>
  </x:si>
  <x:si>
    <x:t xml:space="preserve">Date</x:t>
  </x:si>
  <x:si>
    <x:t xml:space="preserve">Source</x:t>
  </x:si>
  <x:si>
    <x:t xml:space="preserve">Public Fact Used</x:t>
  </x:si>
  <x:si>
    <x:t xml:space="preserve">URL</x:t>
  </x:si>
  <x:si>
    <x:t xml:space="preserve">Vientiane Times</x:t>
  </x:si>
  <x:si>
    <x:t xml:space="preserve">Package value ¥6,478,257,873; 30-month period; Oct-2025 start; completion in 2028</x:t>
  </x:si>
  <x:si>
    <x:t xml:space="preserve">https://vientianetimes.org.la/freefreenews/freecontent_159_city_y25.php</x:t>
  </x:si>
  <x:si>
    <x:t xml:space="preserve">KPL</x:t>
  </x:si>
  <x:si>
    <x:t xml:space="preserve">Approx. ¥6.48B; construction scheduled Oct-2025; 30 months</x:t>
  </x:si>
  <x:si>
    <x:t xml:space="preserve">https://kpl.gov.la/asean2024/En/detail.aspx?id=94243</x:t>
  </x:si>
  <x:si>
    <x:t xml:space="preserve">Kubota</x:t>
  </x:si>
  <x:si>
    <x:t xml:space="preserve">Contract period 30 months; public scope; approx. ¥6B</x:t>
  </x:si>
  <x:si>
    <x:t xml:space="preserve">https://www.kubota.co.jp/news/2025/management-20250829.html</x:t>
  </x:si>
  <x:si>
    <x:t xml:space="preserve">4.19% overall progress; key components underway; July-2028 completion target; report says progress in line with planned schedule</x:t>
  </x:si>
  <x:si>
    <x:t xml:space="preserve">https://www.vientianetimes.org.la/freefreenews/freecontent_82_City_y26.php</x:t>
  </x:si>
  <x:si>
    <x:t xml:space="preserve">Laotian Times</x:t>
  </x:si>
  <x:si>
    <x:t xml:space="preserve">Broader Vientiane water expansion remains active; no newer Chinaimo-specific progress % stated</x:t>
  </x:si>
  <x:si>
    <x:t xml:space="preserve">https://laotiantimes.com/2026/08/27/vientiane-water-enterprise-reports-usd-4-2-million-profit-103-villages-still-without-water/</x:t>
  </x:si>
  <x:si>
    <x:t xml:space="preserve">JICA Standard Bidding Documents – Works</x:t>
  </x:si>
  <x:si>
    <x:t xml:space="preserve">JICA requires standard bidding documents for Japanese ODA loan procurement; used here only as framework context, not as proof of CP-1 Particular Conditions.</x:t>
  </x:si>
  <x:si>
    <x:t xml:space="preserve">https://www.jica.go.jp/english/activities/schemes/finance_co/guide/tender/index.html</x:t>
  </x:si>
  <x:si>
    <x:t xml:space="preserve">JICA payment convention reference</x:t>
  </x:si>
  <x:si>
    <x:t xml:space="preserve">Monthly progress/payment statements are used as an assessment convention; exact CP-1 cut-off and payment Particular Conditions were not found publicly.</x:t>
  </x:si>
  <x:si>
    <x:t xml:space="preserve">BOUNDARY</x:t>
  </x:si>
  <x:si>
    <x:t xml:space="preserve">PUBLIC</x:t>
  </x:si>
  <x:si>
    <x:t xml:space="preserve">DO NOT CLAIM</x:t>
  </x:si>
  <x:si>
    <x:t xml:space="preserve">Progress</x:t>
  </x:si>
  <x:si>
    <x:t xml:space="preserve">4.19% at 05-May-2026</x:t>
  </x:si>
  <x:si>
    <x:t xml:space="preserve">12.10% at 31-Aug-2026</x:t>
  </x:si>
  <x:si>
    <x:t xml:space="preserve">That 12.10% is a published live figure</x:t>
  </x:si>
  <x:si>
    <x:t xml:space="preserve">Schedule</x:t>
  </x:si>
  <x:si>
    <x:t xml:space="preserve">30 months; July-2028 current target</x:t>
  </x:si>
  <x:si>
    <x:t xml:space="preserve">Native CPM: 15-Feb-2028 baseline / 23-Jun-2028 current / 14-Apr-2028 recovery; July-2028 remains the public target reference</x:t>
  </x:si>
  <x:si>
    <x:t xml:space="preserve">Contractual EOT entitlement</x:t>
  </x:si>
  <x:si>
    <x:t xml:space="preserve">Commercial</x:t>
  </x:si>
  <x:si>
    <x:t xml:space="preserve">Public package value only</x:t>
  </x:si>
  <x:si>
    <x:t xml:space="preserve">Illustrative BOQ quantities/rates/weights</x:t>
  </x:si>
  <x:si>
    <x:t xml:space="preserve">Kubota BOQ, rates, claims or internal data</x:t>
  </x:si>
  <x:si>
    <x:t xml:space="preserve">SAMPLE INTERIM PAYMENT CERTIFICATE — 31 AUGUST 2026</x:t>
  </x:si>
  <x:si>
    <x:t xml:space="preserve">Assessment sample only. Demonstrates monthly valuation / certification logic; actual CP-1 Contract Data, retention, advance recovery, minimum IPC and tax terms are not publicly available.</x:t>
  </x:si>
  <x:si>
    <x:t xml:space="preserve">Certificate / Statement</x:t>
  </x:si>
  <x:si>
    <x:t xml:space="preserve">IPC-SAMPLE-2026-08</x:t>
  </x:si>
  <x:si>
    <x:t xml:space="preserve">CONTROL NOTE</x:t>
  </x:si>
  <x:si>
    <x:t xml:space="preserve">Reporting Period</x:t>
  </x:si>
  <x:si>
    <x:t xml:space="preserve">01-Aug-2026 to 31-Aug-2026</x:t>
  </x:si>
  <x:si>
    <x:t xml:space="preserve">Contractor monthly Statement → Engineer's IPC (assessment demonstration)</x:t>
  </x:si>
  <x:si>
    <x:t xml:space="preserve">Status / Cut-off Date</x:t>
  </x:si>
  <x:si>
    <x:t xml:space="preserve">Assessment data date</x:t>
  </x:si>
  <x:si>
    <x:t xml:space="preserve">Assessment Control Value (JPY)</x:t>
  </x:si>
  <x:si>
    <x:t xml:space="preserve">Illustrative control budget; not Kubota contract BOQ</x:t>
  </x:si>
  <x:si>
    <x:t xml:space="preserve">Current Cumulative Progress</x:t>
  </x:si>
  <x:si>
    <x:t xml:space="preserve">12.10% simulated status from 02_STATUS</x:t>
  </x:si>
  <x:si>
    <x:t xml:space="preserve">Assumed Previous Certified Progress</x:t>
  </x:si>
  <x:si>
    <x:t xml:space="preserve">9.50% assumed solely to demonstrate current-period certification</x:t>
  </x:si>
  <x:si>
    <x:t xml:space="preserve">Current Period Progress</x:t>
  </x:si>
  <x:si>
    <x:t xml:space="preserve">Formula: current cumulative less previous certified</x:t>
  </x:si>
  <x:si>
    <x:t xml:space="preserve">Retention Rate</x:t>
  </x:si>
  <x:si>
    <x:t xml:space="preserve">Illustrative only; actual percentage is Contract Data-dependent</x:t>
  </x:si>
  <x:si>
    <x:t xml:space="preserve">Currency</x:t>
  </x:si>
  <x:si>
    <x:t xml:space="preserve">JPY</x:t>
  </x:si>
  <x:si>
    <x:t xml:space="preserve">No FX split simulated</x:t>
  </x:si>
  <x:si>
    <x:t xml:space="preserve">VALUATION</x:t>
  </x:si>
  <x:si>
    <x:t xml:space="preserve">Previous Certified</x:t>
  </x:si>
  <x:si>
    <x:t xml:space="preserve">Current Period</x:t>
  </x:si>
  <x:si>
    <x:t xml:space="preserve">Cumulative</x:t>
  </x:si>
  <x:si>
    <x:t xml:space="preserve">Assessment Boundary</x:t>
  </x:si>
  <x:si>
    <x:t xml:space="preserve">1. Work executed / earned value</x:t>
  </x:si>
  <x:si>
    <x:t xml:space="preserve">Progress × assessment control value</x:t>
  </x:si>
  <x:si>
    <x:t xml:space="preserve">Illustrative</x:t>
  </x:si>
  <x:si>
    <x:t xml:space="preserve">2. Approved Variations</x:t>
  </x:si>
  <x:si>
    <x:t xml:space="preserve">None included in sample</x:t>
  </x:si>
  <x:si>
    <x:t xml:space="preserve">Actual approved variations would be valued separately</x:t>
  </x:si>
  <x:si>
    <x:t xml:space="preserve">3. Price / legislation adjustment</x:t>
  </x:si>
  <x:si>
    <x:t xml:space="preserve">Not simulated</x:t>
  </x:si>
  <x:si>
    <x:t xml:space="preserve">Contract-dependent</x:t>
  </x:si>
  <x:si>
    <x:t xml:space="preserve">4. Eligible Plant &amp; Materials</x:t>
  </x:si>
  <x:si>
    <x:t xml:space="preserve">5. GROSS STATEMENT VALUE</x:t>
  </x:si>
  <x:si>
    <x:t xml:space="preserve">Items 1–4</x:t>
  </x:si>
  <x:si>
    <x:t xml:space="preserve">6. Less: Retention</x:t>
  </x:si>
  <x:si>
    <x:t xml:space="preserve">Illustrative 10%</x:t>
  </x:si>
  <x:si>
    <x:t xml:space="preserve">Actual Contract Data governs</x:t>
  </x:si>
  <x:si>
    <x:t xml:space="preserve">7. Less: Advance payment recovery</x:t>
  </x:si>
  <x:si>
    <x:t xml:space="preserve">Actual contract governs</x:t>
  </x:si>
  <x:si>
    <x:t xml:space="preserve">8. Less: Other deductions / set-offs</x:t>
  </x:si>
  <x:si>
    <x:t xml:space="preserve">Engineer / Contract-dependent</x:t>
  </x:si>
  <x:si>
    <x:t xml:space="preserve">9. NET CERTIFIED / DUE</x:t>
  </x:si>
  <x:si>
    <x:t xml:space="preserve">Gross less deductions</x:t>
  </x:si>
  <x:si>
    <x:t xml:space="preserve">AMOUNT OF THIS SAMPLE IPC</x:t>
  </x:si>
  <x:si>
    <x:t xml:space="preserve">SUPPORTING RECORD / CONTROL</x:t>
  </x:si>
  <x:si>
    <x:t xml:space="preserve">Included in this assessment?</x:t>
  </x:si>
  <x:si>
    <x:t xml:space="preserve">What would be used on a live project</x:t>
  </x:si>
  <x:si>
    <x:t xml:space="preserve">Monthly progress report</x:t>
  </x:si>
  <x:si>
    <x:t xml:space="preserve">YES</x:t>
  </x:si>
  <x:si>
    <x:t xml:space="preserve">Measured progress, narrative, photos, programme update and substantiation</x:t>
  </x:si>
  <x:si>
    <x:t xml:space="preserve">Measurement sheets / BOQ backup</x:t>
  </x:si>
  <x:si>
    <x:t xml:space="preserve">YES — assessment BOQ</x:t>
  </x:si>
  <x:si>
    <x:t xml:space="preserve">Signed measurements / approved BOQ rates / quantity records</x:t>
  </x:si>
  <x:si>
    <x:t xml:space="preserve">Approved Variations</x:t>
  </x:si>
  <x:si>
    <x:t xml:space="preserve">NONE IN SAMPLE</x:t>
  </x:si>
  <x:si>
    <x:t xml:space="preserve">Approved variation instructions / valuation records</x:t>
  </x:si>
  <x:si>
    <x:t xml:space="preserve">Materials on Site</x:t>
  </x:si>
  <x:si>
    <x:t xml:space="preserve">Invoices, delivery/storage evidence and eligibility under the Contract</x:t>
  </x:si>
  <x:si>
    <x:t xml:space="preserve">Retention / advance recovery</x:t>
  </x:si>
  <x:si>
    <x:t xml:space="preserve">ASSUMED / ZERO</x:t>
  </x:si>
  <x:si>
    <x:t xml:space="preserve">Exact Contract Data and advance-payment amortisation terms</x:t>
  </x:si>
  <x:si>
    <x:t xml:space="preserve">JICA framework reference: Works GC Sub-Clause 14.3 contemplates a monthly Statement supported by the monthly progress report and includes work executed (including Variations), adjustments, retention, advance-payment movements, eligible Plant/Materials, other additions/deductions and previous certificates. Exact CP-1 Particular Conditions are not claimed here.</x:t>
  </x:si>
  <x:si>
    <x:t xml:space="preserve">Source: https://www.jica.go.jp/activities/schemes/finance_co/procedure/guideline/tender/ku57pq00000v0qfy-att/SBDW_GC.pdf</x:t>
  </x:si>
</x:sst>
</file>

<file path=xl/styles.xml><?xml version="1.0" encoding="utf-8"?>
<x:styleSheet xmlns:x="http://schemas.openxmlformats.org/spreadsheetml/2006/main">
  <x:numFmts count="3">
    <x:numFmt numFmtId="164" formatCode="\¥#,##0"/>
    <x:numFmt numFmtId="165" formatCode="dd\-mmm\-yyyy"/>
    <x:numFmt numFmtId="166" formatCode="#,##0\ &quot;JPY&quot;"/>
  </x:numFmts>
  <x:fonts count="26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sz val="11"/>
      <x:name val="Carlito"/>
    </x:font>
    <x:font>
      <x:i/>
      <x:sz val="11"/>
      <x:color rgb="FF425B6B"/>
      <x:name val="Carlito"/>
    </x:font>
    <x:font>
      <x:sz val="11"/>
      <x:name val="Carlito"/>
    </x:font>
    <x:font>
      <x:b/>
      <x:sz val="14"/>
      <x:color rgb="FFFFFFFF"/>
      <x:name val="Carlito"/>
    </x:font>
    <x:font>
      <x:sz val="14"/>
      <x:name val="Carlito"/>
    </x:font>
    <x:font>
      <x:b/>
      <x:sz val="14"/>
      <x:color rgb="FF243746"/>
      <x:name val="Carlito"/>
    </x:font>
    <x:font>
      <x:sz val="12"/>
      <x:color rgb="FF1F2937"/>
      <x:name val="Carlito"/>
    </x:font>
    <x:font>
      <x:b/>
      <x:sz val="12"/>
      <x:color rgb="FF243B4A"/>
      <x:name val="Carlito"/>
    </x:font>
    <x:font>
      <x:sz val="12"/>
      <x:name val="Carlito"/>
    </x:font>
    <x:font>
      <x:b/>
      <x:sz val="12"/>
      <x:color rgb="FF8A6500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sz val="16"/>
      <x:name val="Carlito"/>
    </x:font>
    <x:font>
      <x:i/>
      <x:sz val="11"/>
      <x:color rgb="FF1F1F1F"/>
      <x:name val="Carlito"/>
    </x:font>
    <x:font>
      <x:b/>
      <x:sz val="14"/>
      <x:name val="Carlito"/>
    </x:font>
    <x:font>
      <x:b/>
      <x:sz val="10"/>
      <x:color rgb="FF1F2937"/>
      <x:name val="Carlito"/>
    </x:font>
    <x:font>
      <x:b/>
      <x:sz val="12"/>
      <x:color rgb="FF1F2937"/>
      <x:name val="Carlito"/>
    </x:font>
    <x:font>
      <x:b/>
      <x:sz val="14"/>
      <x:color rgb="FF1B4332"/>
      <x:name val="Carlito"/>
    </x:font>
    <x:font>
      <x:i/>
      <x:sz val="12"/>
      <x:color rgb="FF8A6500"/>
      <x:name val="Carlito"/>
    </x:font>
    <x:font>
      <x:sz val="12"/>
      <x:color rgb="FF52606D"/>
      <x:name val="Carlito"/>
    </x:font>
    <x:font>
      <x:i/>
      <x:sz val="11"/>
      <x:color rgb="FF455A64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AF0F3"/>
      </x:patternFill>
    </x:fill>
    <x:fill>
      <x:patternFill patternType="solid">
        <x:fgColor rgb="FF425B6B"/>
      </x:patternFill>
    </x:fill>
    <x:fill>
      <x:patternFill patternType="solid">
        <x:fgColor rgb="FFF6F8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243B4A"/>
      </x:patternFill>
    </x:fill>
    <x:fill>
      <x:patternFill patternType="solid">
        <x:fgColor rgb="FFE8F0F4"/>
      </x:patternFill>
    </x:fill>
    <x:fill>
      <x:patternFill patternType="solid">
        <x:fgColor rgb="FF3F5C6D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</x:fills>
  <x:borders count="11">
    <x:border/>
    <x:border/>
    <x:border/>
    <x:border/>
    <x:border/>
    <x:border/>
    <x:border/>
    <x:border/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01">
    <x:xf numFmtId="0" fontId="0" fillId="0" borderId="0" xfId="0"/>
    <x:xf numFmtId="10" fontId="0" fillId="0" borderId="0" xfId="0" applyNumberFormat="1"/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4" fillId="0" borderId="3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0" fillId="0" borderId="3" xfId="0" applyBorder="1" applyAlignment="1">
      <x:alignment vertical="center" wrapText="1"/>
    </x:xf>
    <x:xf numFmtId="0" fontId="0" fillId="0" borderId="8" xfId="0" applyBorder="1" applyAlignment="1">
      <x:alignment vertical="center" wrapText="1"/>
    </x:xf>
    <x:xf numFmtId="0" fontId="0" fillId="0" borderId="4" xfId="0" applyBorder="1" applyAlignment="1">
      <x:alignment vertical="center" wrapText="1"/>
    </x:xf>
    <x:xf numFmtId="0" fontId="0" fillId="0" borderId="5" xfId="0" applyBorder="1" applyAlignment="1">
      <x:alignment vertical="center" wrapText="1"/>
    </x:xf>
    <x:xf numFmtId="0" fontId="0" fillId="0" borderId="9" xfId="0" applyBorder="1" applyAlignment="1">
      <x:alignment vertical="center" wrapText="1"/>
    </x:xf>
    <x:xf numFmtId="0" fontId="0" fillId="0" borderId="6" xfId="0" applyBorder="1" applyAlignment="1">
      <x:alignment vertical="center" wrapText="1"/>
    </x:xf>
    <x:xf numFmtId="0" fontId="6" fillId="3" borderId="0" xfId="0" applyFont="1" applyFill="1" applyAlignment="1">
      <x:alignment horizontal="left" vertical="center" wrapText="1"/>
    </x:xf>
    <x:xf numFmtId="0" fontId="7" fillId="0" borderId="0" xfId="0" applyFont="1"/>
    <x:xf numFmtId="0" fontId="9" fillId="0" borderId="0" xfId="0" applyFont="1"/>
    <x:xf numFmtId="0" fontId="10" fillId="3" borderId="0" xfId="0" applyFont="1" applyFill="1"/>
    <x:xf numFmtId="0" fontId="8" fillId="4" borderId="10" xfId="0" applyFont="1" applyFill="1" applyBorder="1" applyAlignment="1">
      <x:alignment horizontal="center" vertical="center" wrapText="1"/>
    </x:xf>
    <x:xf numFmtId="0" fontId="2" fillId="0" borderId="10" xfId="0" applyFont="1" applyBorder="1" applyAlignment="1">
      <x:alignment vertical="center"/>
    </x:xf>
    <x:xf numFmtId="10" fontId="2" fillId="0" borderId="10" xfId="0" applyNumberFormat="1" applyFont="1" applyBorder="1" applyAlignment="1">
      <x:alignment vertical="center"/>
    </x:xf>
    <x:xf numFmtId="164" fontId="2" fillId="0" borderId="10" xfId="0" applyNumberFormat="1" applyFont="1" applyBorder="1" applyAlignment="1">
      <x:alignment vertical="center"/>
    </x:xf>
    <x:xf numFmtId="0" fontId="2" fillId="0" borderId="10" xfId="0" applyFont="1" applyBorder="1" applyAlignment="1">
      <x:alignment horizontal="center" vertical="center"/>
    </x:xf>
    <x:xf numFmtId="10" fontId="2" fillId="0" borderId="10" xfId="0" applyNumberFormat="1" applyFont="1" applyBorder="1" applyAlignment="1">
      <x:alignment horizontal="center" vertical="center"/>
    </x:xf>
    <x:xf numFmtId="164" fontId="2" fillId="0" borderId="10" xfId="0" applyNumberFormat="1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165" fontId="2" fillId="0" borderId="10" xfId="0" applyNumberFormat="1" applyFont="1" applyBorder="1" applyAlignment="1">
      <x:alignment horizontal="center" vertical="center"/>
    </x:xf>
    <x:xf numFmtId="0" fontId="11" fillId="0" borderId="0" xfId="0" applyFont="1" applyAlignment="1">
      <x:alignment vertical="top" wrapText="1"/>
    </x:xf>
    <x:xf numFmtId="0" fontId="8" fillId="7" borderId="10" xfId="0" applyFont="1" applyFill="1" applyBorder="1" applyAlignment="1">
      <x:alignment horizontal="center" vertical="center"/>
    </x:xf>
    <x:xf numFmtId="0" fontId="4" fillId="0" borderId="10" xfId="0" applyFont="1" applyBorder="1" applyAlignment="1">
      <x:alignment wrapText="1"/>
    </x:xf>
    <x:xf numFmtId="0" fontId="3" fillId="5" borderId="10" xfId="0" applyFont="1" applyFill="1" applyBorder="1" applyAlignment="1">
      <x:alignment wrapText="1"/>
    </x:xf>
    <x:xf numFmtId="0" fontId="3" fillId="5" borderId="10" xfId="0" applyFont="1" applyFill="1" applyBorder="1" applyAlignment="1">
      <x:alignment wrapText="1"/>
    </x:xf>
    <x:xf numFmtId="0" fontId="0" fillId="0" borderId="10" xfId="0" applyBorder="1" applyAlignment="1">
      <x:alignment wrapText="1"/>
    </x:xf>
    <x:xf numFmtId="0" fontId="12" fillId="11" borderId="0" xfId="0" applyFont="1" applyFill="1" applyAlignment="1">
      <x:alignment wrapText="1"/>
    </x:xf>
    <x:xf numFmtId="0" fontId="13" fillId="0" borderId="0" xfId="0" applyFont="1"/>
    <x:xf numFmtId="0" fontId="13" fillId="0" borderId="0" xfId="0" applyFont="1" applyAlignment="1">
      <x:alignment horizontal="center"/>
    </x:xf>
    <x:xf numFmtId="0" fontId="14" fillId="0" borderId="0" xfId="0" applyFont="1" applyAlignment="1">
      <x:alignment wrapText="1"/>
    </x:xf>
    <x:xf numFmtId="0" fontId="10" fillId="3" borderId="0" xfId="0" applyFont="1" applyFill="1" applyAlignment="1">
      <x:alignment horizontal="left" vertical="center"/>
    </x:xf>
    <x:xf numFmtId="164" fontId="10" fillId="3" borderId="0" xfId="0" applyNumberFormat="1" applyFont="1" applyFill="1" applyAlignment="1">
      <x:alignment horizontal="left" vertical="center"/>
    </x:xf>
    <x:xf numFmtId="10" fontId="10" fillId="3" borderId="0" xfId="0" applyNumberFormat="1" applyFont="1" applyFill="1" applyAlignment="1">
      <x:alignment horizontal="left" vertical="center"/>
    </x:xf>
    <x:xf numFmtId="0" fontId="10" fillId="3" borderId="0" xfId="0" applyFont="1" applyFill="1" applyAlignment="1">
      <x:alignment horizontal="center" vertical="center"/>
    </x:xf>
    <x:xf numFmtId="0" fontId="15" fillId="0" borderId="10" xfId="0" applyFont="1" applyBorder="1" applyAlignment="1">
      <x:alignment vertical="center"/>
    </x:xf>
    <x:xf numFmtId="4" fontId="2" fillId="0" borderId="10" xfId="0" applyNumberFormat="1" applyFont="1" applyBorder="1" applyAlignment="1">
      <x:alignment vertical="center"/>
    </x:xf>
    <x:xf numFmtId="10" fontId="10" fillId="3" borderId="0" xfId="0" applyNumberFormat="1" applyFont="1" applyFill="1" applyAlignment="1">
      <x:alignment horizontal="center" vertical="center"/>
    </x:xf>
    <x:xf numFmtId="0" fontId="11" fillId="6" borderId="0" xfId="0" applyFont="1" applyFill="1" applyAlignment="1">
      <x:alignment wrapText="1"/>
    </x:xf>
    <x:xf numFmtId="0" fontId="16" fillId="7" borderId="0" xfId="0" applyFont="1" applyFill="1" applyAlignment="1">
      <x:alignment horizontal="center" vertical="center"/>
    </x:xf>
    <x:xf numFmtId="0" fontId="17" fillId="0" borderId="0" xfId="0" applyFont="1"/>
    <x:xf numFmtId="0" fontId="18" fillId="8" borderId="0" xfId="0" applyFont="1" applyFill="1" applyAlignment="1">
      <x:alignment horizontal="left" vertical="center" wrapText="1"/>
    </x:xf>
    <x:xf numFmtId="0" fontId="18" fillId="8" borderId="0" xfId="0" applyFont="1" applyFill="1" applyAlignment="1">
      <x:alignment vertical="center" wrapText="1"/>
    </x:xf>
    <x:xf numFmtId="0" fontId="0" fillId="0" borderId="0" xfId="0" applyAlignment="1">
      <x:alignment horizontal="center" wrapText="1"/>
    </x:xf>
    <x:xf numFmtId="0" fontId="8" fillId="9" borderId="10" xfId="0" applyFont="1" applyFill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165" fontId="2" fillId="0" borderId="10" xfId="0" applyNumberFormat="1" applyFont="1" applyBorder="1" applyAlignment="1">
      <x:alignment vertical="center" wrapText="1"/>
    </x:xf>
    <x:xf numFmtId="10" fontId="2" fillId="0" borderId="10" xfId="0" applyNumberFormat="1" applyFont="1" applyBorder="1" applyAlignment="1">
      <x:alignment horizontal="center" vertical="center" wrapText="1"/>
    </x:xf>
    <x:xf numFmtId="10" fontId="2" fillId="0" borderId="10" xfId="0" applyNumberFormat="1" applyFont="1" applyBorder="1" applyAlignment="1">
      <x:alignment vertical="center" wrapText="1"/>
    </x:xf>
    <x:xf numFmtId="0" fontId="0" fillId="0" borderId="10" xfId="0" applyBorder="1" applyAlignment="1">
      <x:alignment wrapText="1"/>
    </x:xf>
    <x:xf numFmtId="0" fontId="0" fillId="0" borderId="10" xfId="0" applyBorder="1" applyAlignment="1">
      <x:alignment horizontal="center" wrapText="1"/>
    </x:xf>
    <x:xf numFmtId="165" fontId="0" fillId="0" borderId="10" xfId="0" applyNumberFormat="1" applyBorder="1" applyAlignment="1">
      <x:alignment wrapText="1"/>
    </x:xf>
    <x:xf numFmtId="10" fontId="0" fillId="0" borderId="10" xfId="0" applyNumberFormat="1" applyBorder="1" applyAlignment="1">
      <x:alignment horizontal="center" wrapText="1"/>
    </x:xf>
    <x:xf numFmtId="0" fontId="2" fillId="5" borderId="10" xfId="0" applyFont="1" applyFill="1" applyBorder="1" applyAlignment="1">
      <x:alignment horizontal="center" wrapText="1"/>
    </x:xf>
    <x:xf numFmtId="165" fontId="2" fillId="5" borderId="10" xfId="0" applyNumberFormat="1" applyFont="1" applyFill="1" applyBorder="1" applyAlignment="1">
      <x:alignment wrapText="1"/>
    </x:xf>
    <x:xf numFmtId="10" fontId="2" fillId="5" borderId="10" xfId="0" applyNumberFormat="1" applyFont="1" applyFill="1" applyBorder="1" applyAlignment="1">
      <x:alignment horizontal="center" wrapText="1"/>
    </x:xf>
    <x:xf numFmtId="0" fontId="2" fillId="5" borderId="10" xfId="0" applyFont="1" applyFill="1" applyBorder="1" applyAlignment="1">
      <x:alignment wrapText="1"/>
    </x:xf>
    <x:xf numFmtId="0" fontId="19" fillId="8" borderId="10" xfId="0" applyFont="1" applyFill="1" applyBorder="1" applyAlignment="1">
      <x:alignment horizontal="center" vertical="center" wrapText="1"/>
    </x:xf>
    <x:xf numFmtId="0" fontId="19" fillId="8" borderId="10" xfId="0" applyFont="1" applyFill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4" fillId="0" borderId="10" xfId="0" applyFont="1" applyBorder="1" applyAlignment="1">
      <x:alignment horizontal="center" wrapText="1"/>
    </x:xf>
    <x:xf numFmtId="0" fontId="0" fillId="0" borderId="10" xfId="0" applyBorder="1"/>
    <x:xf numFmtId="0" fontId="0" fillId="0" borderId="10" xfId="0" applyBorder="1" applyAlignment="1">
      <x:alignment horizontal="center"/>
    </x:xf>
    <x:xf numFmtId="0" fontId="2" fillId="0" borderId="10" xfId="0" applyFont="1" applyBorder="1" applyAlignment="1">
      <x:alignment vertical="center" wrapText="1"/>
    </x:xf>
    <x:xf numFmtId="0" fontId="20" fillId="0" borderId="10" xfId="0" applyFont="1" applyBorder="1" applyAlignment="1">
      <x:alignment horizontal="center" vertical="center" wrapText="1"/>
    </x:xf>
    <x:xf numFmtId="165" fontId="2" fillId="0" borderId="10" xfId="0" applyNumberFormat="1" applyFont="1" applyBorder="1" applyAlignment="1">
      <x:alignment horizontal="center" vertical="center" wrapText="1"/>
    </x:xf>
    <x:xf numFmtId="0" fontId="21" fillId="6" borderId="0" xfId="0" applyFont="1" applyFill="1" applyAlignment="1">
      <x:alignment wrapText="1"/>
    </x:xf>
    <x:xf numFmtId="0" fontId="8" fillId="7" borderId="10" xfId="0" applyFont="1" applyFill="1" applyBorder="1" applyAlignment="1">
      <x:alignment horizontal="center" vertical="center" wrapText="1"/>
    </x:xf>
    <x:xf numFmtId="0" fontId="16" fillId="10" borderId="0" xfId="0" applyFont="1" applyFill="1" applyAlignment="1">
      <x:alignment horizontal="center" vertical="center" wrapText="1"/>
    </x:xf>
    <x:xf numFmtId="0" fontId="8" fillId="12" borderId="1" xfId="0" applyFont="1" applyFill="1" applyBorder="1" applyAlignment="1">
      <x:alignment horizontal="center" vertical="center" wrapText="1"/>
    </x:xf>
    <x:xf numFmtId="0" fontId="8" fillId="12" borderId="1" xfId="0" applyFont="1" applyFill="1" applyBorder="1" applyAlignment="1">
      <x:alignment horizontal="center" vertical="center" wrapText="1"/>
    </x:xf>
    <x:xf numFmtId="0" fontId="8" fillId="12" borderId="7" xfId="0" applyFont="1" applyFill="1" applyBorder="1" applyAlignment="1">
      <x:alignment horizontal="center" vertical="center" wrapText="1"/>
    </x:xf>
    <x:xf numFmtId="0" fontId="8" fillId="12" borderId="2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165" fontId="0" fillId="0" borderId="4" xfId="0" applyNumberFormat="1" applyBorder="1" applyAlignment="1">
      <x:alignment horizontal="center" vertical="center" wrapText="1"/>
    </x:xf>
    <x:xf numFmtId="3" fontId="0" fillId="0" borderId="4" xfId="0" applyNumberFormat="1" applyBorder="1" applyAlignment="1">
      <x:alignment horizontal="center" vertical="center" wrapText="1"/>
    </x:xf>
    <x:xf numFmtId="10" fontId="0" fillId="0" borderId="4" xfId="0" applyNumberFormat="1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 wrapText="1"/>
    </x:xf>
    <x:xf numFmtId="0" fontId="8" fillId="10" borderId="0" xfId="0" applyFont="1" applyFill="1" applyAlignment="1">
      <x:alignment horizontal="center" vertical="center" wrapText="1"/>
    </x:xf>
    <x:xf numFmtId="166" fontId="22" fillId="13" borderId="0" xfId="0" applyNumberFormat="1" applyFont="1" applyFill="1" applyAlignment="1">
      <x:alignment horizontal="center" vertical="center" wrapText="1"/>
    </x:xf>
    <x:xf numFmtId="0" fontId="8" fillId="12" borderId="10" xfId="0" applyFont="1" applyFill="1" applyBorder="1" applyAlignment="1">
      <x:alignment horizontal="center" vertical="center" wrapText="1"/>
    </x:xf>
    <x:xf numFmtId="0" fontId="5" fillId="0" borderId="10" xfId="0" applyFont="1" applyBorder="1" applyAlignment="1">
      <x:alignment vertical="center" wrapText="1"/>
    </x:xf>
    <x:xf numFmtId="3" fontId="0" fillId="0" borderId="10" xfId="0" applyNumberFormat="1" applyBorder="1" applyAlignment="1">
      <x:alignment vertical="center" wrapText="1"/>
    </x:xf>
    <x:xf numFmtId="0" fontId="0" fillId="0" borderId="10" xfId="0" applyBorder="1" applyAlignment="1">
      <x:alignment horizontal="center" vertical="center" wrapText="1"/>
    </x:xf>
    <x:xf numFmtId="0" fontId="0" fillId="0" borderId="10" xfId="0" applyBorder="1" applyAlignment="1">
      <x:alignment vertical="center" wrapText="1"/>
    </x:xf>
    <x:xf numFmtId="0" fontId="4" fillId="11" borderId="10" xfId="0" applyFont="1" applyFill="1" applyBorder="1" applyAlignment="1">
      <x:alignment vertical="center" wrapText="1"/>
    </x:xf>
    <x:xf numFmtId="3" fontId="4" fillId="11" borderId="10" xfId="0" applyNumberFormat="1" applyFont="1" applyFill="1" applyBorder="1" applyAlignment="1">
      <x:alignment vertical="center" wrapText="1"/>
    </x:xf>
    <x:xf numFmtId="0" fontId="4" fillId="11" borderId="10" xfId="0" applyFont="1" applyFill="1" applyBorder="1" applyAlignment="1">
      <x:alignment horizontal="center" vertical="center" wrapText="1"/>
    </x:xf>
    <x:xf numFmtId="0" fontId="4" fillId="14" borderId="10" xfId="0" applyFont="1" applyFill="1" applyBorder="1" applyAlignment="1">
      <x:alignment vertical="center" wrapText="1"/>
    </x:xf>
    <x:xf numFmtId="3" fontId="4" fillId="14" borderId="10" xfId="0" applyNumberFormat="1" applyFont="1" applyFill="1" applyBorder="1" applyAlignment="1">
      <x:alignment vertical="center" wrapText="1"/>
    </x:xf>
    <x:xf numFmtId="0" fontId="0" fillId="0" borderId="10" xfId="0" applyBorder="1" applyAlignment="1">
      <x:alignment vertical="center" wrapText="1"/>
    </x:xf>
    <x:xf numFmtId="0" fontId="8" fillId="12" borderId="10" xfId="0" applyFont="1" applyFill="1" applyBorder="1" applyAlignment="1">
      <x:alignment horizontal="center" vertical="center" wrapText="1"/>
    </x:xf>
    <x:xf numFmtId="0" fontId="23" fillId="0" borderId="0" xfId="0" applyFont="1" applyAlignment="1">
      <x:alignment vertical="center" wrapText="1"/>
    </x:xf>
    <x:xf numFmtId="0" fontId="24" fillId="0" borderId="0" xfId="0" applyFont="1" applyAlignment="1">
      <x:alignment vertical="center" wrapText="1"/>
    </x:xf>
    <x:xf numFmtId="0" fontId="25" fillId="11" borderId="0" xfId="0" applyFont="1" applyFill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1cb8c72b042c4" /><Relationship Type="http://schemas.openxmlformats.org/officeDocument/2006/relationships/theme" Target="/xl/theme/theme1.xml" Id="Re50f0f8b47c1489f" /><Relationship Type="http://schemas.openxmlformats.org/officeDocument/2006/relationships/sharedStrings" Target="/xl/sharedStrings.xml" Id="R8464438e532d49f6" /><Relationship Type="http://schemas.openxmlformats.org/officeDocument/2006/relationships/worksheet" Target="/xl/worksheets/sheet1.xml" Id="R29b76f6403ff4646" /><Relationship Type="http://schemas.openxmlformats.org/officeDocument/2006/relationships/worksheet" Target="/xl/worksheets/sheet2.xml" Id="Rf83da97c547e469a" /><Relationship Type="http://schemas.openxmlformats.org/officeDocument/2006/relationships/worksheet" Target="/xl/worksheets/sheet3.xml" Id="R1632e7778a714324" /><Relationship Type="http://schemas.openxmlformats.org/officeDocument/2006/relationships/worksheet" Target="/xl/worksheets/sheet4.xml" Id="R3f49284b67904f93" /><Relationship Type="http://schemas.openxmlformats.org/officeDocument/2006/relationships/worksheet" Target="/xl/worksheets/sheet5.xml" Id="Rb9144a8993c54539" /><Relationship Type="http://schemas.openxmlformats.org/officeDocument/2006/relationships/worksheet" Target="/xl/worksheets/sheet6.xml" Id="Re97749146d8d468e" /><Relationship Type="http://schemas.openxmlformats.org/officeDocument/2006/relationships/worksheet" Target="/xl/worksheets/sheet7.xml" Id="Rcf1b489b30a94e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2" customWidth="1"/>
    <x:col min="2" max="2" width="18" customWidth="1"/>
    <x:col min="3" max="3" width="18.33203125" customWidth="1"/>
    <x:col min="4" max="4" width="24" customWidth="1"/>
    <x:col min="5" max="5" width="20" customWidth="1"/>
    <x:col min="6" max="6" width="25" customWidth="1"/>
    <x:col min="7" max="7" width="20.77734375" customWidth="1"/>
    <x:col min="8" max="8" width="18" style="25" customWidth="1"/>
  </x:cols>
  <x:sheetData>
    <x:row r="1" ht="25.049999237060547" customHeight="1">
      <x:c r="A1" s="6" t="s">
        <x:v>0</x:v>
      </x:c>
      <x:c r="B1" s="7"/>
      <x:c r="C1" s="7"/>
      <x:c r="D1" s="7"/>
      <x:c r="E1" s="7"/>
      <x:c r="F1" s="7"/>
      <x:c r="G1" s="7"/>
      <x:c r="H1" s="7"/>
    </x:row>
    <x:row r="2" ht="19.200000762939453" customHeight="1">
      <x:c r="A2" s="14" t="s">
        <x:v>1</x:v>
      </x:c>
      <x:c r="B2" s="15"/>
      <x:c r="C2" s="15"/>
      <x:c r="D2" s="15"/>
      <x:c r="E2" s="15"/>
      <x:c r="F2" s="15"/>
      <x:c r="G2" s="15"/>
      <x:c r="H2" s="15"/>
    </x:row>
    <x:row r="4" s="16" customFormat="1" ht="34.95000076293945" customHeight="1">
      <x:c r="A4" s="18" t="s">
        <x:v>2</x:v>
      </x:c>
      <x:c r="B4" s="18" t="s">
        <x:v>3</x:v>
      </x:c>
      <x:c r="C4" s="18" t="s">
        <x:v>4</x:v>
      </x:c>
      <x:c r="D4" s="18" t="s">
        <x:v>5</x:v>
      </x:c>
      <x:c r="E4" s="18" t="s">
        <x:v>3</x:v>
      </x:c>
      <x:c r="F4" s="18" t="s">
        <x:v>4</x:v>
      </x:c>
      <x:c r="G4" s="18" t="s">
        <x:v>6</x:v>
      </x:c>
      <x:c r="H4" s="18" t="s">
        <x:v>7</x:v>
      </x:c>
    </x:row>
    <x:row r="5" ht="19.950000762939453" customHeight="1">
      <x:c r="A5" s="19" t="s">
        <x:v>8</x:v>
      </x:c>
      <x:c r="B5" s="22" t="s">
        <x:v>9</x:v>
      </x:c>
      <x:c r="C5" s="19" t="s">
        <x:v>10</x:v>
      </x:c>
      <x:c r="D5" s="19" t="s">
        <x:v>11</x:v>
      </x:c>
      <x:c r="E5" s="23" t="n">
        <x:f>'02_STATUS'!G20</x:f>
        <x:v>0.12095</x:v>
      </x:c>
      <x:c r="F5" s="19" t="s">
        <x:v>12</x:v>
      </x:c>
      <x:c r="G5" s="19" t="s">
        <x:v>13</x:v>
      </x:c>
      <x:c r="H5" s="26">
        <x:v>46798</x:v>
      </x:c>
    </x:row>
    <x:row r="6" ht="19.950000762939453" customHeight="1">
      <x:c r="A6" s="19" t="s">
        <x:v>14</x:v>
      </x:c>
      <x:c r="B6" s="22" t="s">
        <x:v>15</x:v>
      </x:c>
      <x:c r="C6" s="19" t="s">
        <x:v>10</x:v>
      </x:c>
      <x:c r="D6" s="19" t="s">
        <x:v>16</x:v>
      </x:c>
      <x:c r="E6" s="26">
        <x:v>46265</x:v>
      </x:c>
      <x:c r="F6" s="19" t="s">
        <x:v>17</x:v>
      </x:c>
      <x:c r="G6" s="19" t="s">
        <x:v>18</x:v>
      </x:c>
      <x:c r="H6" s="26">
        <x:v>46927</x:v>
      </x:c>
    </x:row>
    <x:row r="7" ht="19.950000762939453" customHeight="1">
      <x:c r="A7" s="19" t="s">
        <x:v>19</x:v>
      </x:c>
      <x:c r="B7" s="23">
        <x:v>4.19E-2</x:v>
      </x:c>
      <x:c r="C7" s="19" t="s">
        <x:v>20</x:v>
      </x:c>
      <x:c r="D7" s="19" t="s">
        <x:v>21</x:v>
      </x:c>
      <x:c r="E7" s="23">
        <x:v>4.19E-2</x:v>
      </x:c>
      <x:c r="F7" s="19" t="s">
        <x:v>22</x:v>
      </x:c>
      <x:c r="G7" s="19" t="s">
        <x:v>23</x:v>
      </x:c>
      <x:c r="H7" s="26">
        <x:v>46857</x:v>
      </x:c>
    </x:row>
    <x:row r="8" ht="19.950000762939453" customHeight="1">
      <x:c r="A8" s="19" t="s">
        <x:v>24</x:v>
      </x:c>
      <x:c r="B8" s="22" t="s">
        <x:v>25</x:v>
      </x:c>
      <x:c r="C8" s="19" t="s">
        <x:v>10</x:v>
      </x:c>
      <x:c r="D8" s="19" t="s">
        <x:v>11</x:v>
      </x:c>
      <x:c r="E8" s="23" t="n">
        <x:f>'02_STATUS'!G20</x:f>
        <x:v>0.12095</x:v>
      </x:c>
      <x:c r="F8" s="19" t="s">
        <x:v>26</x:v>
      </x:c>
      <x:c r="G8" s="19" t="s">
        <x:v>27</x:v>
      </x:c>
      <x:c r="H8" s="22" t="s">
        <x:v>28</x:v>
      </x:c>
    </x:row>
    <x:row r="9" ht="19.950000762939453" customHeight="1">
      <x:c r="A9" s="19" t="s">
        <x:v>29</x:v>
      </x:c>
      <x:c r="B9" s="24" t="s">
        <x:v>30</x:v>
      </x:c>
      <x:c r="C9" s="19" t="s">
        <x:v>31</x:v>
      </x:c>
      <x:c r="D9" s="19" t="s">
        <x:v>32</x:v>
      </x:c>
      <x:c r="E9" s="22" t="s">
        <x:v>33</x:v>
      </x:c>
      <x:c r="F9" s="19" t="s">
        <x:v>34</x:v>
      </x:c>
      <x:c r="G9" s="19" t="s">
        <x:v>35</x:v>
      </x:c>
      <x:c r="H9" s="22" t="s">
        <x:v>36</x:v>
      </x:c>
    </x:row>
    <x:row r="11" s="16" customFormat="1" ht="25.049999237060547" customHeight="1">
      <x:c r="A11" s="17" t="s">
        <x:v>37</x:v>
      </x:c>
      <x:c r="B11" s="17"/>
      <x:c r="C11" s="17"/>
      <x:c r="D11" s="17"/>
      <x:c r="E11" s="17"/>
      <x:c r="F11" s="17"/>
      <x:c r="G11" s="17"/>
      <x:c r="H11" s="17"/>
    </x:row>
    <x:row r="12" ht="24" customHeight="1">
      <x:c r="A12" s="27" t="s">
        <x:v>38</x:v>
      </x:c>
      <x:c r="B12" s="27"/>
      <x:c r="C12" s="27"/>
      <x:c r="D12" s="27"/>
      <x:c r="E12" s="27"/>
      <x:c r="F12" s="27"/>
      <x:c r="G12" s="27"/>
      <x:c r="H12" s="27"/>
    </x:row>
    <x:row r="13" ht="24" customHeight="1">
      <x:c r="A13" s="27"/>
      <x:c r="B13" s="27"/>
      <x:c r="C13" s="27"/>
      <x:c r="D13" s="27"/>
      <x:c r="E13" s="27"/>
      <x:c r="F13" s="27"/>
      <x:c r="G13" s="27"/>
      <x:c r="H13" s="27"/>
    </x:row>
    <x:row r="14" s="16" customFormat="1" ht="25.049999237060547" customHeight="1">
      <x:c r="A14" s="28" t="s">
        <x:v>39</x:v>
      </x:c>
      <x:c r="B14" s="28"/>
      <x:c r="C14" s="28"/>
      <x:c r="D14" s="28"/>
      <x:c r="E14" s="28"/>
      <x:c r="F14" s="28"/>
      <x:c r="G14" s="28"/>
      <x:c r="H14" s="28"/>
    </x:row>
    <x:row r="15" ht="30" customHeight="1">
      <x:c r="A15" s="29" t="s">
        <x:v>40</x:v>
      </x:c>
      <x:c r="B15" s="30" t="s">
        <x:v>41</x:v>
      </x:c>
      <x:c r="C15" s="31" t="s">
        <x:v>42</x:v>
      </x:c>
      <x:c r="D15" s="31"/>
      <x:c r="E15" s="31"/>
      <x:c r="F15" s="31"/>
      <x:c r="G15" s="31"/>
      <x:c r="H15" s="31"/>
    </x:row>
    <x:row r="16" ht="30" customHeight="1">
      <x:c r="A16" s="29" t="s">
        <x:v>43</x:v>
      </x:c>
      <x:c r="B16" s="29" t="s">
        <x:v>44</x:v>
      </x:c>
      <x:c r="C16" s="32" t="s">
        <x:v>45</x:v>
      </x:c>
      <x:c r="D16" s="32"/>
      <x:c r="E16" s="32"/>
      <x:c r="F16" s="32"/>
      <x:c r="G16" s="32"/>
      <x:c r="H16" s="32"/>
    </x:row>
    <x:row r="17" ht="30" customHeight="1">
      <x:c r="A17" s="29" t="s">
        <x:v>46</x:v>
      </x:c>
      <x:c r="B17" s="29" t="s">
        <x:v>47</x:v>
      </x:c>
      <x:c r="C17" s="32" t="s">
        <x:v>48</x:v>
      </x:c>
      <x:c r="D17" s="32"/>
      <x:c r="E17" s="32"/>
      <x:c r="F17" s="32"/>
      <x:c r="G17" s="32"/>
      <x:c r="H17" s="32"/>
    </x:row>
    <x:row r="18" ht="19.950000762939453" customHeight="1">
      <x:c r="A18" s="29" t="s">
        <x:v>49</x:v>
      </x:c>
      <x:c r="B18" s="29" t="s">
        <x:v>50</x:v>
      </x:c>
      <x:c r="C18" s="32" t="s">
        <x:v>51</x:v>
      </x:c>
      <x:c r="D18" s="32"/>
      <x:c r="E18" s="32"/>
      <x:c r="F18" s="32"/>
      <x:c r="G18" s="32"/>
      <x:c r="H18" s="32"/>
    </x:row>
    <x:row r="20" ht="27.149999618530273" customHeight="1">
      <x:c r="A20" s="33" t="s">
        <x:v>52</x:v>
      </x:c>
      <x:c r="B20" s="33"/>
      <x:c r="C20" s="33"/>
      <x:c r="D20" s="33"/>
      <x:c r="E20" s="33"/>
      <x:c r="F20" s="33"/>
      <x:c r="G20" s="33"/>
      <x:c r="H20" s="33"/>
    </x:row>
    <x:row r="21" ht="15.600000381469727">
      <x:c r="A21" s="34"/>
      <x:c r="B21" s="34"/>
      <x:c r="C21" s="34"/>
      <x:c r="D21" s="34"/>
      <x:c r="E21" s="34"/>
      <x:c r="F21" s="34"/>
      <x:c r="G21" s="34"/>
      <x:c r="H21" s="35"/>
    </x:row>
    <x:row r="22" ht="15.600000381469727">
      <x:c r="A22" s="36" t="s">
        <x:v>53</x:v>
      </x:c>
      <x:c r="B22" s="36"/>
      <x:c r="C22" s="36"/>
      <x:c r="D22" s="36"/>
      <x:c r="E22" s="36"/>
      <x:c r="F22" s="36"/>
      <x:c r="G22" s="36"/>
      <x:c r="H22" s="36"/>
    </x:row>
  </x:sheetData>
  <x:mergeCells>
    <x:mergeCell ref="A22:H22"/>
    <x:mergeCell ref="C15:H15"/>
    <x:mergeCell ref="C16:H16"/>
    <x:mergeCell ref="C17:H17"/>
    <x:mergeCell ref="C18:H18"/>
    <x:mergeCell ref="A20:H20"/>
    <x:mergeCell ref="A1:H1"/>
    <x:mergeCell ref="A2:H2"/>
    <x:mergeCell ref="A11:H11"/>
    <x:mergeCell ref="A12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33.33203125" customWidth="1"/>
    <x:col min="3" max="3" width="9" style="25" customWidth="1"/>
    <x:col min="4" max="4" width="13" customWidth="1"/>
    <x:col min="5" max="5" width="15" customWidth="1"/>
    <x:col min="6" max="6" width="20" customWidth="1"/>
    <x:col min="7" max="7" width="12" customWidth="1"/>
    <x:col min="8" max="8" width="14" style="25" customWidth="1"/>
  </x:cols>
  <x:sheetData>
    <x:row r="1" ht="25.049999237060547" customHeight="1">
      <x:c r="A1" s="6" t="s">
        <x:v>54</x:v>
      </x:c>
      <x:c r="B1" s="7"/>
      <x:c r="C1" s="7"/>
      <x:c r="D1" s="7"/>
      <x:c r="E1" s="7"/>
      <x:c r="F1" s="7"/>
      <x:c r="G1" s="7"/>
      <x:c r="H1" s="7"/>
    </x:row>
    <x:row r="2" ht="19.200000762939453" customHeight="1">
      <x:c r="A2" s="14" t="s">
        <x:v>55</x:v>
      </x:c>
      <x:c r="B2" s="15"/>
      <x:c r="C2" s="15"/>
      <x:c r="D2" s="15"/>
      <x:c r="E2" s="15"/>
      <x:c r="F2" s="15"/>
      <x:c r="G2" s="15"/>
      <x:c r="H2" s="15"/>
    </x:row>
    <x:row r="4" s="16" customFormat="1" ht="34.95000076293945" customHeight="1">
      <x:c r="A4" s="18" t="s">
        <x:v>56</x:v>
      </x:c>
      <x:c r="B4" s="18" t="s">
        <x:v>57</x:v>
      </x:c>
      <x:c r="C4" s="18" t="s">
        <x:v>58</x:v>
      </x:c>
      <x:c r="D4" s="18" t="s">
        <x:v>59</x:v>
      </x:c>
      <x:c r="E4" s="18" t="s">
        <x:v>60</x:v>
      </x:c>
      <x:c r="F4" s="18" t="s">
        <x:v>61</x:v>
      </x:c>
      <x:c r="G4" s="18" t="s">
        <x:v>62</x:v>
      </x:c>
      <x:c r="H4" s="18" t="s">
        <x:v>63</x:v>
      </x:c>
    </x:row>
    <x:row r="5" ht="19.950000762939453" customHeight="1">
      <x:c r="A5" s="41" t="s">
        <x:v>64</x:v>
      </x:c>
      <x:c r="B5" s="19" t="s">
        <x:v>65</x:v>
      </x:c>
      <x:c r="C5" s="22" t="s">
        <x:v>66</x:v>
      </x:c>
      <x:c r="D5" s="42">
        <x:v>1</x:v>
      </x:c>
      <x:c r="E5" s="42">
        <x:v>300000000</x:v>
      </x:c>
      <x:c r="F5" s="21" t="n">
        <x:f t="shared" ref="F5:F18" si="0">D5*E5</x:f>
        <x:v>300000000</x:v>
      </x:c>
      <x:c r="G5" s="20" t="n">
        <x:f t="shared" ref="G5:G18" si="1">F5/SUM($F$5:$F$18)</x:f>
        <x:v>0.05</x:v>
      </x:c>
      <x:c r="H5" s="22" t="s">
        <x:v>67</x:v>
      </x:c>
    </x:row>
    <x:row r="6" ht="19.950000762939453" customHeight="1">
      <x:c r="A6" s="19" t="s">
        <x:v>68</x:v>
      </x:c>
      <x:c r="B6" s="19" t="s">
        <x:v>69</x:v>
      </x:c>
      <x:c r="C6" s="22" t="s">
        <x:v>70</x:v>
      </x:c>
      <x:c r="D6" s="42">
        <x:v>185000</x:v>
      </x:c>
      <x:c r="E6" s="42">
        <x:v>2000</x:v>
      </x:c>
      <x:c r="F6" s="21">
        <x:f t="shared" si="0"/>
        <x:v>370000000</x:v>
      </x:c>
      <x:c r="G6" s="20">
        <x:f t="shared" si="1"/>
        <x:v>6.1666666666666668E-2</x:v>
      </x:c>
      <x:c r="H6" s="22" t="s">
        <x:v>67</x:v>
      </x:c>
    </x:row>
    <x:row r="7" ht="19.950000762939453" customHeight="1">
      <x:c r="A7" s="19" t="s">
        <x:v>71</x:v>
      </x:c>
      <x:c r="B7" s="19" t="s">
        <x:v>72</x:v>
      </x:c>
      <x:c r="C7" s="22" t="s">
        <x:v>70</x:v>
      </x:c>
      <x:c r="D7" s="42">
        <x:v>45000</x:v>
      </x:c>
      <x:c r="E7" s="42">
        <x:v>30000</x:v>
      </x:c>
      <x:c r="F7" s="21">
        <x:f t="shared" si="0"/>
        <x:v>1350000000</x:v>
      </x:c>
      <x:c r="G7" s="20">
        <x:f t="shared" si="1"/>
        <x:v>0.22500000000000001</x:v>
      </x:c>
      <x:c r="H7" s="22" t="s">
        <x:v>67</x:v>
      </x:c>
    </x:row>
    <x:row r="8" ht="19.950000762939453" customHeight="1">
      <x:c r="A8" s="19" t="s">
        <x:v>73</x:v>
      </x:c>
      <x:c r="B8" s="19" t="s">
        <x:v>74</x:v>
      </x:c>
      <x:c r="C8" s="22" t="s">
        <x:v>75</x:v>
      </x:c>
      <x:c r="D8" s="42">
        <x:v>7500</x:v>
      </x:c>
      <x:c r="E8" s="42">
        <x:v>120000</x:v>
      </x:c>
      <x:c r="F8" s="21">
        <x:f t="shared" si="0"/>
        <x:v>900000000</x:v>
      </x:c>
      <x:c r="G8" s="20">
        <x:f t="shared" si="1"/>
        <x:v>0.15</x:v>
      </x:c>
      <x:c r="H8" s="22" t="s">
        <x:v>67</x:v>
      </x:c>
    </x:row>
    <x:row r="9" ht="19.950000762939453" customHeight="1">
      <x:c r="A9" s="19" t="s">
        <x:v>76</x:v>
      </x:c>
      <x:c r="B9" s="19" t="s">
        <x:v>77</x:v>
      </x:c>
      <x:c r="C9" s="22" t="s">
        <x:v>78</x:v>
      </x:c>
      <x:c r="D9" s="42">
        <x:v>170000</x:v>
      </x:c>
      <x:c r="E9" s="42">
        <x:v>2000</x:v>
      </x:c>
      <x:c r="F9" s="21">
        <x:f t="shared" si="0"/>
        <x:v>340000000</x:v>
      </x:c>
      <x:c r="G9" s="20">
        <x:f t="shared" si="1"/>
        <x:v>5.6666666666666664E-2</x:v>
      </x:c>
      <x:c r="H9" s="22" t="s">
        <x:v>67</x:v>
      </x:c>
    </x:row>
    <x:row r="10" ht="19.950000762939453" customHeight="1">
      <x:c r="A10" s="19" t="s">
        <x:v>79</x:v>
      </x:c>
      <x:c r="B10" s="19" t="s">
        <x:v>80</x:v>
      </x:c>
      <x:c r="C10" s="22" t="s">
        <x:v>78</x:v>
      </x:c>
      <x:c r="D10" s="42">
        <x:v>85000</x:v>
      </x:c>
      <x:c r="E10" s="42">
        <x:v>2000</x:v>
      </x:c>
      <x:c r="F10" s="21">
        <x:f t="shared" si="0"/>
        <x:v>170000000</x:v>
      </x:c>
      <x:c r="G10" s="20">
        <x:f t="shared" si="1"/>
        <x:v>2.8333333333333332E-2</x:v>
      </x:c>
      <x:c r="H10" s="22" t="s">
        <x:v>67</x:v>
      </x:c>
    </x:row>
    <x:row r="11" ht="19.950000762939453" customHeight="1">
      <x:c r="A11" s="19" t="s">
        <x:v>81</x:v>
      </x:c>
      <x:c r="B11" s="19" t="s">
        <x:v>82</x:v>
      </x:c>
      <x:c r="C11" s="22" t="s">
        <x:v>66</x:v>
      </x:c>
      <x:c r="D11" s="42">
        <x:v>1</x:v>
      </x:c>
      <x:c r="E11" s="42">
        <x:v>550000000</x:v>
      </x:c>
      <x:c r="F11" s="21">
        <x:f t="shared" si="0"/>
        <x:v>550000000</x:v>
      </x:c>
      <x:c r="G11" s="20">
        <x:f t="shared" si="1"/>
        <x:v>9.166666666666666E-2</x:v>
      </x:c>
      <x:c r="H11" s="22" t="s">
        <x:v>67</x:v>
      </x:c>
    </x:row>
    <x:row r="12" ht="19.950000762939453" customHeight="1">
      <x:c r="A12" s="19" t="s">
        <x:v>83</x:v>
      </x:c>
      <x:c r="B12" s="19" t="s">
        <x:v>84</x:v>
      </x:c>
      <x:c r="C12" s="22" t="s">
        <x:v>66</x:v>
      </x:c>
      <x:c r="D12" s="42">
        <x:v>1</x:v>
      </x:c>
      <x:c r="E12" s="42">
        <x:v>500000000</x:v>
      </x:c>
      <x:c r="F12" s="21">
        <x:f t="shared" si="0"/>
        <x:v>500000000</x:v>
      </x:c>
      <x:c r="G12" s="20">
        <x:f t="shared" si="1"/>
        <x:v>8.3333333333333329E-2</x:v>
      </x:c>
      <x:c r="H12" s="22" t="s">
        <x:v>67</x:v>
      </x:c>
    </x:row>
    <x:row r="13" ht="19.950000762939453" customHeight="1">
      <x:c r="A13" s="19" t="s">
        <x:v>85</x:v>
      </x:c>
      <x:c r="B13" s="19" t="s">
        <x:v>86</x:v>
      </x:c>
      <x:c r="C13" s="22" t="s">
        <x:v>66</x:v>
      </x:c>
      <x:c r="D13" s="42">
        <x:v>1</x:v>
      </x:c>
      <x:c r="E13" s="42">
        <x:v>240000000</x:v>
      </x:c>
      <x:c r="F13" s="21">
        <x:f t="shared" si="0"/>
        <x:v>240000000</x:v>
      </x:c>
      <x:c r="G13" s="20">
        <x:f t="shared" si="1"/>
        <x:v>0.04</x:v>
      </x:c>
      <x:c r="H13" s="22" t="s">
        <x:v>67</x:v>
      </x:c>
    </x:row>
    <x:row r="14" ht="19.950000762939453" customHeight="1">
      <x:c r="A14" s="19" t="s">
        <x:v>87</x:v>
      </x:c>
      <x:c r="B14" s="19" t="s">
        <x:v>88</x:v>
      </x:c>
      <x:c r="C14" s="22" t="s">
        <x:v>66</x:v>
      </x:c>
      <x:c r="D14" s="42">
        <x:v>1</x:v>
      </x:c>
      <x:c r="E14" s="42">
        <x:v>420000000</x:v>
      </x:c>
      <x:c r="F14" s="21">
        <x:f t="shared" si="0"/>
        <x:v>420000000</x:v>
      </x:c>
      <x:c r="G14" s="20">
        <x:f t="shared" si="1"/>
        <x:v>7.0000000000000007E-2</x:v>
      </x:c>
      <x:c r="H14" s="22" t="s">
        <x:v>67</x:v>
      </x:c>
    </x:row>
    <x:row r="15" ht="19.950000762939453" customHeight="1">
      <x:c r="A15" s="19" t="s">
        <x:v>89</x:v>
      </x:c>
      <x:c r="B15" s="19" t="s">
        <x:v>90</x:v>
      </x:c>
      <x:c r="C15" s="22" t="s">
        <x:v>66</x:v>
      </x:c>
      <x:c r="D15" s="42">
        <x:v>1</x:v>
      </x:c>
      <x:c r="E15" s="42">
        <x:v>270000000</x:v>
      </x:c>
      <x:c r="F15" s="21">
        <x:f t="shared" si="0"/>
        <x:v>270000000</x:v>
      </x:c>
      <x:c r="G15" s="20">
        <x:f t="shared" si="1"/>
        <x:v>4.4999999999999998E-2</x:v>
      </x:c>
      <x:c r="H15" s="22" t="s">
        <x:v>67</x:v>
      </x:c>
    </x:row>
    <x:row r="16" ht="19.950000762939453" customHeight="1">
      <x:c r="A16" s="19" t="s">
        <x:v>91</x:v>
      </x:c>
      <x:c r="B16" s="19" t="s">
        <x:v>92</x:v>
      </x:c>
      <x:c r="C16" s="22" t="s">
        <x:v>66</x:v>
      </x:c>
      <x:c r="D16" s="42">
        <x:v>1</x:v>
      </x:c>
      <x:c r="E16" s="42">
        <x:v>240000000</x:v>
      </x:c>
      <x:c r="F16" s="21">
        <x:f t="shared" si="0"/>
        <x:v>240000000</x:v>
      </x:c>
      <x:c r="G16" s="20">
        <x:f t="shared" si="1"/>
        <x:v>0.04</x:v>
      </x:c>
      <x:c r="H16" s="22" t="s">
        <x:v>67</x:v>
      </x:c>
    </x:row>
    <x:row r="17" ht="19.950000762939453" customHeight="1">
      <x:c r="A17" s="19" t="s">
        <x:v>93</x:v>
      </x:c>
      <x:c r="B17" s="19" t="s">
        <x:v>94</x:v>
      </x:c>
      <x:c r="C17" s="22" t="s">
        <x:v>66</x:v>
      </x:c>
      <x:c r="D17" s="42">
        <x:v>1</x:v>
      </x:c>
      <x:c r="E17" s="42">
        <x:v>240000000</x:v>
      </x:c>
      <x:c r="F17" s="21">
        <x:f t="shared" si="0"/>
        <x:v>240000000</x:v>
      </x:c>
      <x:c r="G17" s="20">
        <x:f t="shared" si="1"/>
        <x:v>0.04</x:v>
      </x:c>
      <x:c r="H17" s="22" t="s">
        <x:v>67</x:v>
      </x:c>
    </x:row>
    <x:row r="18" ht="19.950000762939453" customHeight="1">
      <x:c r="A18" s="19" t="s">
        <x:v>95</x:v>
      </x:c>
      <x:c r="B18" s="19" t="s">
        <x:v>96</x:v>
      </x:c>
      <x:c r="C18" s="22" t="s">
        <x:v>66</x:v>
      </x:c>
      <x:c r="D18" s="42">
        <x:v>1</x:v>
      </x:c>
      <x:c r="E18" s="42">
        <x:v>110000000</x:v>
      </x:c>
      <x:c r="F18" s="21">
        <x:f t="shared" si="0"/>
        <x:v>110000000</x:v>
      </x:c>
      <x:c r="G18" s="20">
        <x:f t="shared" si="1"/>
        <x:v>1.8333333333333333E-2</x:v>
      </x:c>
      <x:c r="H18" s="22" t="s">
        <x:v>67</x:v>
      </x:c>
    </x:row>
    <x:row r="19" s="16" customFormat="1" ht="25.049999237060547" customHeight="1">
      <x:c r="A19" s="40" t="s">
        <x:v>97</x:v>
      </x:c>
      <x:c r="B19" s="40"/>
      <x:c r="C19" s="40"/>
      <x:c r="D19" s="40"/>
      <x:c r="E19" s="40"/>
      <x:c r="F19" s="38" t="n">
        <x:f>SUM(F5:F18)</x:f>
        <x:v>6000000000</x:v>
      </x:c>
      <x:c r="G19" s="39" t="n">
        <x:f>SUM(G5:G18)</x:f>
        <x:v>1.0000000000000002</x:v>
      </x:c>
      <x:c r="H19" s="37" t="s">
        <x:v>98</x:v>
      </x:c>
    </x:row>
  </x:sheetData>
  <x:mergeCells>
    <x:mergeCell ref="A1:H1"/>
    <x:mergeCell ref="A2:H2"/>
    <x:mergeCell ref="A19:E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34" customWidth="1"/>
    <x:col min="3" max="3" width="12" customWidth="1"/>
    <x:col min="4" max="5" width="18" customWidth="1"/>
    <x:col min="6" max="7" width="16" customWidth="1"/>
  </x:cols>
  <x:sheetData>
    <x:row r="1" ht="25.049999237060547" customHeight="1">
      <x:c r="A1" s="6" t="s">
        <x:v>99</x:v>
      </x:c>
      <x:c r="B1" s="7"/>
      <x:c r="C1" s="7"/>
      <x:c r="D1" s="7"/>
      <x:c r="E1" s="7"/>
      <x:c r="F1" s="7"/>
      <x:c r="G1" s="7"/>
    </x:row>
    <x:row r="2" ht="28.799999237060547" customHeight="1">
      <x:c r="A2" s="14" t="s">
        <x:v>100</x:v>
      </x:c>
      <x:c r="B2" s="15"/>
      <x:c r="C2" s="15"/>
      <x:c r="D2" s="15"/>
      <x:c r="E2" s="15"/>
      <x:c r="F2" s="15"/>
      <x:c r="G2" s="15"/>
    </x:row>
    <x:row r="4" s="16" customFormat="1" ht="60" customHeight="1">
      <x:c r="A4" s="18" t="s">
        <x:v>56</x:v>
      </x:c>
      <x:c r="B4" s="18" t="s">
        <x:v>57</x:v>
      </x:c>
      <x:c r="C4" s="18" t="s">
        <x:v>62</x:v>
      </x:c>
      <x:c r="D4" s="18" t="s">
        <x:v>101</x:v>
      </x:c>
      <x:c r="E4" s="18" t="s">
        <x:v>102</x:v>
      </x:c>
      <x:c r="F4" s="18" t="s">
        <x:v>103</x:v>
      </x:c>
      <x:c r="G4" s="18" t="s">
        <x:v>104</x:v>
      </x:c>
    </x:row>
    <x:row r="5" ht="19.950000762939453" customHeight="1">
      <x:c r="A5" s="19" t="s">
        <x:v>64</x:v>
      </x:c>
      <x:c r="B5" s="19" t="s">
        <x:v>65</x:v>
      </x:c>
      <x:c r="C5" s="23" t="n">
        <x:f>'01_BOQ'!G5</x:f>
        <x:v>0.05</x:v>
      </x:c>
      <x:c r="D5" s="23">
        <x:v>0.26433333333333331</x:v>
      </x:c>
      <x:c r="E5" s="23">
        <x:v>0.52</x:v>
      </x:c>
      <x:c r="F5" s="23" t="n">
        <x:f t="shared" ref="F5:F18" si="0">C5*D5</x:f>
        <x:v>0.013216666666666666</x:v>
      </x:c>
      <x:c r="G5" s="23" t="n">
        <x:f t="shared" ref="G5:G18" si="1">C5*E5</x:f>
        <x:v>0.026000000000000002</x:v>
      </x:c>
    </x:row>
    <x:row r="6" ht="19.950000762939453" customHeight="1">
      <x:c r="A6" s="19" t="s">
        <x:v>68</x:v>
      </x:c>
      <x:c r="B6" s="19" t="s">
        <x:v>69</x:v>
      </x:c>
      <x:c r="C6" s="23" t="n">
        <x:f>'01_BOQ'!G6</x:f>
        <x:v>0.06166666666666667</x:v>
      </x:c>
      <x:c r="D6" s="23">
        <x:v>0.15</x:v>
      </x:c>
      <x:c r="E6" s="23">
        <x:v>0.46</x:v>
      </x:c>
      <x:c r="F6" s="23">
        <x:f t="shared" si="0"/>
        <x:v>9.2499999999999995E-3</x:v>
      </x:c>
      <x:c r="G6" s="23">
        <x:f t="shared" si="1"/>
        <x:v>2.8366666666666669E-2</x:v>
      </x:c>
    </x:row>
    <x:row r="7" ht="19.950000762939453" customHeight="1">
      <x:c r="A7" s="19" t="s">
        <x:v>71</x:v>
      </x:c>
      <x:c r="B7" s="19" t="s">
        <x:v>72</x:v>
      </x:c>
      <x:c r="C7" s="23" t="n">
        <x:f>'01_BOQ'!G7</x:f>
        <x:v>0.225</x:v>
      </x:c>
      <x:c r="D7" s="23">
        <x:v>0.05</x:v>
      </x:c>
      <x:c r="E7" s="23">
        <x:v>0.15</x:v>
      </x:c>
      <x:c r="F7" s="23">
        <x:f t="shared" si="0"/>
        <x:v>1.1250000000000001E-2</x:v>
      </x:c>
      <x:c r="G7" s="23">
        <x:f t="shared" si="1"/>
        <x:v>3.3750000000000002E-2</x:v>
      </x:c>
    </x:row>
    <x:row r="8" ht="19.950000762939453" customHeight="1">
      <x:c r="A8" s="19" t="s">
        <x:v>73</x:v>
      </x:c>
      <x:c r="B8" s="19" t="s">
        <x:v>74</x:v>
      </x:c>
      <x:c r="C8" s="23" t="n">
        <x:f>'01_BOQ'!G8</x:f>
        <x:v>0.15</x:v>
      </x:c>
      <x:c r="D8" s="23">
        <x:v>1.4999999999999999E-2</x:v>
      </x:c>
      <x:c r="E8" s="23">
        <x:v>0.1</x:v>
      </x:c>
      <x:c r="F8" s="23">
        <x:f t="shared" si="0"/>
        <x:v>2.2499999999999998E-3</x:v>
      </x:c>
      <x:c r="G8" s="23">
        <x:f t="shared" si="1"/>
        <x:v>1.4999999999999999E-2</x:v>
      </x:c>
    </x:row>
    <x:row r="9" ht="19.950000762939453" customHeight="1">
      <x:c r="A9" s="19" t="s">
        <x:v>76</x:v>
      </x:c>
      <x:c r="B9" s="19" t="s">
        <x:v>77</x:v>
      </x:c>
      <x:c r="C9" s="23" t="n">
        <x:f>'01_BOQ'!G9</x:f>
        <x:v>0.056666666666666664</x:v>
      </x:c>
      <x:c r="D9" s="23">
        <x:v>0.02</x:v>
      </x:c>
      <x:c r="E9" s="23">
        <x:v>0.11</x:v>
      </x:c>
      <x:c r="F9" s="23">
        <x:f t="shared" si="0"/>
        <x:v>1.1333333333333332E-3</x:v>
      </x:c>
      <x:c r="G9" s="23">
        <x:f t="shared" si="1"/>
        <x:v>6.2333333333333329E-3</x:v>
      </x:c>
    </x:row>
    <x:row r="10" ht="19.950000762939453" customHeight="1">
      <x:c r="A10" s="19" t="s">
        <x:v>79</x:v>
      </x:c>
      <x:c r="B10" s="19" t="s">
        <x:v>80</x:v>
      </x:c>
      <x:c r="C10" s="23" t="n">
        <x:f>'01_BOQ'!G10</x:f>
        <x:v>0.028333333333333332</x:v>
      </x:c>
      <x:c r="D10" s="23">
        <x:v>0</x:v>
      </x:c>
      <x:c r="E10" s="23">
        <x:v>0</x:v>
      </x:c>
      <x:c r="F10" s="23">
        <x:f t="shared" si="0"/>
        <x:v>0</x:v>
      </x:c>
      <x:c r="G10" s="23">
        <x:f t="shared" si="1"/>
        <x:v>0</x:v>
      </x:c>
    </x:row>
    <x:row r="11" ht="19.950000762939453" customHeight="1">
      <x:c r="A11" s="19" t="s">
        <x:v>81</x:v>
      </x:c>
      <x:c r="B11" s="19" t="s">
        <x:v>82</x:v>
      </x:c>
      <x:c r="C11" s="23" t="n">
        <x:f>'01_BOQ'!G11</x:f>
        <x:v>0.09166666666666666</x:v>
      </x:c>
      <x:c r="D11" s="23">
        <x:v>0</x:v>
      </x:c>
      <x:c r="E11" s="23">
        <x:v>0</x:v>
      </x:c>
      <x:c r="F11" s="23">
        <x:f t="shared" si="0"/>
        <x:v>0</x:v>
      </x:c>
      <x:c r="G11" s="23">
        <x:f t="shared" si="1"/>
        <x:v>0</x:v>
      </x:c>
    </x:row>
    <x:row r="12" ht="19.950000762939453" customHeight="1">
      <x:c r="A12" s="19" t="s">
        <x:v>83</x:v>
      </x:c>
      <x:c r="B12" s="19" t="s">
        <x:v>84</x:v>
      </x:c>
      <x:c r="C12" s="23" t="n">
        <x:f>'01_BOQ'!G12</x:f>
        <x:v>0.08333333333333333</x:v>
      </x:c>
      <x:c r="D12" s="23">
        <x:v>0</x:v>
      </x:c>
      <x:c r="E12" s="23">
        <x:v>0</x:v>
      </x:c>
      <x:c r="F12" s="23">
        <x:f t="shared" si="0"/>
        <x:v>0</x:v>
      </x:c>
      <x:c r="G12" s="23">
        <x:f t="shared" si="1"/>
        <x:v>0</x:v>
      </x:c>
    </x:row>
    <x:row r="13" ht="19.950000762939453" customHeight="1">
      <x:c r="A13" s="19" t="s">
        <x:v>85</x:v>
      </x:c>
      <x:c r="B13" s="19" t="s">
        <x:v>86</x:v>
      </x:c>
      <x:c r="C13" s="23" t="n">
        <x:f>'01_BOQ'!G13</x:f>
        <x:v>0.04</x:v>
      </x:c>
      <x:c r="D13" s="23">
        <x:v>0</x:v>
      </x:c>
      <x:c r="E13" s="23">
        <x:v>0</x:v>
      </x:c>
      <x:c r="F13" s="23">
        <x:f t="shared" si="0"/>
        <x:v>0</x:v>
      </x:c>
      <x:c r="G13" s="23">
        <x:f t="shared" si="1"/>
        <x:v>0</x:v>
      </x:c>
    </x:row>
    <x:row r="14" ht="19.950000762939453" customHeight="1">
      <x:c r="A14" s="19" t="s">
        <x:v>87</x:v>
      </x:c>
      <x:c r="B14" s="19" t="s">
        <x:v>88</x:v>
      </x:c>
      <x:c r="C14" s="23" t="n">
        <x:f>'01_BOQ'!G14</x:f>
        <x:v>0.07</x:v>
      </x:c>
      <x:c r="D14" s="23">
        <x:v>0</x:v>
      </x:c>
      <x:c r="E14" s="23">
        <x:v>0</x:v>
      </x:c>
      <x:c r="F14" s="23">
        <x:f t="shared" si="0"/>
        <x:v>0</x:v>
      </x:c>
      <x:c r="G14" s="23">
        <x:f t="shared" si="1"/>
        <x:v>0</x:v>
      </x:c>
    </x:row>
    <x:row r="15" ht="19.950000762939453" customHeight="1">
      <x:c r="A15" s="19" t="s">
        <x:v>89</x:v>
      </x:c>
      <x:c r="B15" s="19" t="s">
        <x:v>90</x:v>
      </x:c>
      <x:c r="C15" s="23" t="n">
        <x:f>'01_BOQ'!G15</x:f>
        <x:v>0.045</x:v>
      </x:c>
      <x:c r="D15" s="23">
        <x:v>0</x:v>
      </x:c>
      <x:c r="E15" s="23">
        <x:v>0</x:v>
      </x:c>
      <x:c r="F15" s="23">
        <x:f t="shared" si="0"/>
        <x:v>0</x:v>
      </x:c>
      <x:c r="G15" s="23">
        <x:f t="shared" si="1"/>
        <x:v>0</x:v>
      </x:c>
    </x:row>
    <x:row r="16" ht="19.950000762939453" customHeight="1">
      <x:c r="A16" s="19" t="s">
        <x:v>91</x:v>
      </x:c>
      <x:c r="B16" s="19" t="s">
        <x:v>92</x:v>
      </x:c>
      <x:c r="C16" s="23" t="n">
        <x:f>'01_BOQ'!G16</x:f>
        <x:v>0.04</x:v>
      </x:c>
      <x:c r="D16" s="23">
        <x:v>0.02</x:v>
      </x:c>
      <x:c r="E16" s="23">
        <x:v>7.0000000000000007E-2</x:v>
      </x:c>
      <x:c r="F16" s="23">
        <x:f t="shared" si="0"/>
        <x:v>8.0000000000000004E-4</x:v>
      </x:c>
      <x:c r="G16" s="23">
        <x:f t="shared" si="1"/>
        <x:v>2.8000000000000004E-3</x:v>
      </x:c>
    </x:row>
    <x:row r="17" ht="19.950000762939453" customHeight="1">
      <x:c r="A17" s="19" t="s">
        <x:v>93</x:v>
      </x:c>
      <x:c r="B17" s="19" t="s">
        <x:v>94</x:v>
      </x:c>
      <x:c r="C17" s="23" t="n">
        <x:f>'01_BOQ'!G17</x:f>
        <x:v>0.04</x:v>
      </x:c>
      <x:c r="D17" s="23">
        <x:v>0.1</x:v>
      </x:c>
      <x:c r="E17" s="23">
        <x:v>0.22</x:v>
      </x:c>
      <x:c r="F17" s="23">
        <x:f t="shared" si="0"/>
        <x:v>4.0000000000000001E-3</x:v>
      </x:c>
      <x:c r="G17" s="23">
        <x:f t="shared" si="1"/>
        <x:v>8.8000000000000005E-3</x:v>
      </x:c>
    </x:row>
    <x:row r="18" ht="19.950000762939453" customHeight="1">
      <x:c r="A18" s="19" t="s">
        <x:v>95</x:v>
      </x:c>
      <x:c r="B18" s="19" t="s">
        <x:v>96</x:v>
      </x:c>
      <x:c r="C18" s="23" t="n">
        <x:f>'01_BOQ'!G18</x:f>
        <x:v>0.018333333333333333</x:v>
      </x:c>
      <x:c r="D18" s="23">
        <x:v>0</x:v>
      </x:c>
      <x:c r="E18" s="23">
        <x:v>0</x:v>
      </x:c>
      <x:c r="F18" s="23">
        <x:f t="shared" si="0"/>
        <x:v>0</x:v>
      </x:c>
      <x:c r="G18" s="23">
        <x:f t="shared" si="1"/>
        <x:v>0</x:v>
      </x:c>
    </x:row>
    <x:row r="19">
      <x:c r="C19" s="1"/>
      <x:c r="D19" s="1"/>
      <x:c r="E19" s="1"/>
      <x:c r="F19" s="1"/>
      <x:c r="G19" s="1"/>
    </x:row>
    <x:row r="20" s="16" customFormat="1" ht="25.049999237060547" customHeight="1">
      <x:c r="A20" s="40" t="s">
        <x:v>105</x:v>
      </x:c>
      <x:c r="B20" s="40"/>
      <x:c r="C20" s="43" t="n">
        <x:f>SUM(C5:C18)</x:f>
        <x:v>1.0000000000000002</x:v>
      </x:c>
      <x:c r="D20" s="43"/>
      <x:c r="E20" s="43"/>
      <x:c r="F20" s="43" t="n">
        <x:f>SUM(F5:F18)</x:f>
        <x:v>0.04190000000000001</x:v>
      </x:c>
      <x:c r="G20" s="43" t="n">
        <x:f>SUM(G5:G18)</x:f>
        <x:v>0.12095</x:v>
      </x:c>
    </x:row>
    <x:row r="22" ht="25.649999618530273" customHeight="1">
      <x:c r="A22" s="44" t="s">
        <x:v>106</x:v>
      </x:c>
      <x:c r="B22" s="44"/>
      <x:c r="C22" s="44"/>
      <x:c r="D22" s="44"/>
      <x:c r="E22" s="44"/>
      <x:c r="F22" s="44"/>
      <x:c r="G22" s="44"/>
    </x:row>
    <x:row r="23" ht="25.649999618530273" customHeight="1">
      <x:c r="A23" s="44"/>
      <x:c r="B23" s="44"/>
      <x:c r="C23" s="44"/>
      <x:c r="D23" s="44"/>
      <x:c r="E23" s="44"/>
      <x:c r="F23" s="44"/>
      <x:c r="G23" s="44"/>
    </x:row>
  </x:sheetData>
  <x:mergeCells>
    <x:mergeCell ref="A1:G1"/>
    <x:mergeCell ref="A2:G2"/>
    <x:mergeCell ref="A22:G23"/>
    <x:mergeCell ref="A20:B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22.77734375" customWidth="1"/>
    <x:col min="2" max="2" width="18" customWidth="1"/>
    <x:col min="3" max="3" width="16" style="25" customWidth="1"/>
    <x:col min="4" max="4" width="20" customWidth="1"/>
    <x:col min="5" max="5" width="30" customWidth="1"/>
    <x:col min="6" max="6" width="46" customWidth="1"/>
  </x:cols>
  <x:sheetData>
    <x:row r="1" s="46" customFormat="1" ht="25.049999237060547" customHeight="1">
      <x:c r="A1" s="45" t="s">
        <x:v>107</x:v>
      </x:c>
      <x:c r="B1" s="45"/>
      <x:c r="C1" s="45"/>
      <x:c r="D1" s="45"/>
      <x:c r="E1" s="45"/>
      <x:c r="F1" s="45"/>
    </x:row>
    <x:row r="2" ht="30.450000762939453" customHeight="1">
      <x:c r="A2" s="47" t="s">
        <x:v>108</x:v>
      </x:c>
      <x:c r="B2" s="48"/>
      <x:c r="C2" s="48"/>
      <x:c r="D2" s="48"/>
      <x:c r="E2" s="48"/>
      <x:c r="F2" s="48"/>
    </x:row>
    <x:row r="4" s="16" customFormat="1" ht="34.95000076293945" customHeight="1">
      <x:c r="A4" s="50" t="s">
        <x:v>109</x:v>
      </x:c>
      <x:c r="B4" s="50" t="s">
        <x:v>110</x:v>
      </x:c>
      <x:c r="C4" s="50" t="s">
        <x:v>111</x:v>
      </x:c>
      <x:c r="D4" s="50" t="s">
        <x:v>112</x:v>
      </x:c>
      <x:c r="E4" s="50" t="s">
        <x:v>113</x:v>
      </x:c>
      <x:c r="F4" s="50" t="s">
        <x:v>114</x:v>
      </x:c>
    </x:row>
    <x:row r="5" ht="27.149999618530273" customHeight="1">
      <x:c r="A5" s="51" t="s">
        <x:v>9</x:v>
      </x:c>
      <x:c r="B5" s="52">
        <x:v>45961</x:v>
      </x:c>
      <x:c r="C5" s="53"/>
      <x:c r="D5" s="54" t="s">
        <x:v>115</x:v>
      </x:c>
      <x:c r="E5" s="54" t="s">
        <x:v>116</x:v>
      </x:c>
      <x:c r="F5" s="55" t="s">
        <x:v>117</x:v>
      </x:c>
    </x:row>
    <x:row r="6" ht="27.149999618530273" customHeight="1">
      <x:c r="A6" s="51" t="s">
        <x:v>118</x:v>
      </x:c>
      <x:c r="B6" s="52">
        <x:v>45991</x:v>
      </x:c>
      <x:c r="C6" s="53"/>
      <x:c r="D6" s="54" t="s">
        <x:v>115</x:v>
      </x:c>
      <x:c r="E6" s="54" t="s">
        <x:v>116</x:v>
      </x:c>
      <x:c r="F6" s="55" t="s">
        <x:v>117</x:v>
      </x:c>
    </x:row>
    <x:row r="7" ht="27.149999618530273" customHeight="1">
      <x:c r="A7" s="51" t="s">
        <x:v>119</x:v>
      </x:c>
      <x:c r="B7" s="52">
        <x:v>46022</x:v>
      </x:c>
      <x:c r="C7" s="53"/>
      <x:c r="D7" s="54" t="s">
        <x:v>115</x:v>
      </x:c>
      <x:c r="E7" s="54" t="s">
        <x:v>116</x:v>
      </x:c>
      <x:c r="F7" s="55" t="s">
        <x:v>117</x:v>
      </x:c>
    </x:row>
    <x:row r="8" ht="27.149999618530273" customHeight="1">
      <x:c r="A8" s="56" t="s">
        <x:v>120</x:v>
      </x:c>
      <x:c r="B8" s="57">
        <x:v>46053</x:v>
      </x:c>
      <x:c r="C8" s="58"/>
      <x:c r="D8" s="55" t="s">
        <x:v>115</x:v>
      </x:c>
      <x:c r="E8" s="55" t="s">
        <x:v>116</x:v>
      </x:c>
      <x:c r="F8" s="55" t="s">
        <x:v>117</x:v>
      </x:c>
    </x:row>
    <x:row r="9" ht="27.149999618530273" customHeight="1">
      <x:c r="A9" s="59" t="s">
        <x:v>121</x:v>
      </x:c>
      <x:c r="B9" s="60">
        <x:v>46081</x:v>
      </x:c>
      <x:c r="C9" s="61"/>
      <x:c r="D9" s="62" t="s">
        <x:v>115</x:v>
      </x:c>
      <x:c r="E9" s="62" t="s">
        <x:v>116</x:v>
      </x:c>
      <x:c r="F9" s="55" t="s">
        <x:v>117</x:v>
      </x:c>
    </x:row>
    <x:row r="10" ht="27.149999618530273" customHeight="1">
      <x:c r="A10" s="59" t="s">
        <x:v>122</x:v>
      </x:c>
      <x:c r="B10" s="60">
        <x:v>46112</x:v>
      </x:c>
      <x:c r="C10" s="61"/>
      <x:c r="D10" s="62" t="s">
        <x:v>115</x:v>
      </x:c>
      <x:c r="E10" s="62" t="s">
        <x:v>116</x:v>
      </x:c>
      <x:c r="F10" s="55" t="s">
        <x:v>117</x:v>
      </x:c>
    </x:row>
    <x:row r="11" ht="27.149999618530273" customHeight="1">
      <x:c r="A11" s="56" t="s">
        <x:v>123</x:v>
      </x:c>
      <x:c r="B11" s="57">
        <x:v>46142</x:v>
      </x:c>
      <x:c r="C11" s="58"/>
      <x:c r="D11" s="55" t="s">
        <x:v>115</x:v>
      </x:c>
      <x:c r="E11" s="55" t="s">
        <x:v>116</x:v>
      </x:c>
      <x:c r="F11" s="55" t="s">
        <x:v>117</x:v>
      </x:c>
    </x:row>
    <x:row r="12" ht="27.149999618530273" customHeight="1">
      <x:c r="A12" s="56" t="s">
        <x:v>124</x:v>
      </x:c>
      <x:c r="B12" s="57">
        <x:v>46147</x:v>
      </x:c>
      <x:c r="C12" s="58">
        <x:v>4.19E-2</x:v>
      </x:c>
      <x:c r="D12" s="55" t="s">
        <x:v>125</x:v>
      </x:c>
      <x:c r="E12" s="55" t="s">
        <x:v>116</x:v>
      </x:c>
      <x:c r="F12" s="55" t="s">
        <x:v>126</x:v>
      </x:c>
    </x:row>
    <x:row r="13" ht="27.149999618530273" customHeight="1">
      <x:c r="A13" s="56" t="s">
        <x:v>127</x:v>
      </x:c>
      <x:c r="B13" s="57">
        <x:v>46203</x:v>
      </x:c>
      <x:c r="C13" s="58"/>
      <x:c r="D13" s="55" t="s">
        <x:v>115</x:v>
      </x:c>
      <x:c r="E13" s="55" t="s">
        <x:v>116</x:v>
      </x:c>
      <x:c r="F13" s="55" t="s">
        <x:v>117</x:v>
      </x:c>
    </x:row>
    <x:row r="14" ht="27.149999618530273" customHeight="1">
      <x:c r="A14" s="56" t="s">
        <x:v>128</x:v>
      </x:c>
      <x:c r="B14" s="57">
        <x:v>46234</x:v>
      </x:c>
      <x:c r="C14" s="58"/>
      <x:c r="D14" s="55" t="s">
        <x:v>115</x:v>
      </x:c>
      <x:c r="E14" s="55" t="s">
        <x:v>116</x:v>
      </x:c>
      <x:c r="F14" s="55" t="s">
        <x:v>117</x:v>
      </x:c>
    </x:row>
    <x:row r="15" ht="27.149999618530273" customHeight="1">
      <x:c r="A15" s="56" t="s">
        <x:v>129</x:v>
      </x:c>
      <x:c r="B15" s="57">
        <x:v>46265</x:v>
      </x:c>
      <x:c r="C15" s="58">
        <x:v>0.12095</x:v>
      </x:c>
      <x:c r="D15" s="55" t="s">
        <x:v>130</x:v>
      </x:c>
      <x:c r="E15" s="55" t="s">
        <x:v>116</x:v>
      </x:c>
      <x:c r="F15" s="55" t="s">
        <x:v>131</x:v>
      </x:c>
    </x:row>
    <x:row r="16">
      <x:c r="A16" s="25"/>
    </x:row>
    <x:row r="18" s="16" customFormat="1" ht="25.049999237060547" customHeight="1">
      <x:c r="A18" s="28" t="s">
        <x:v>132</x:v>
      </x:c>
      <x:c r="B18" s="28"/>
      <x:c r="C18" s="28"/>
      <x:c r="D18" s="28"/>
      <x:c r="E18" s="28"/>
      <x:c r="F18" s="28"/>
    </x:row>
    <x:row r="19" ht="25.649999618530273" customHeight="1">
      <x:c r="A19" s="63" t="s">
        <x:v>133</x:v>
      </x:c>
      <x:c r="B19" s="63" t="s">
        <x:v>134</x:v>
      </x:c>
      <x:c r="C19" s="64" t="s">
        <x:v>135</x:v>
      </x:c>
      <x:c r="D19" s="65"/>
      <x:c r="E19" s="65"/>
      <x:c r="F19" s="65"/>
    </x:row>
    <x:row r="20" ht="30" customHeight="1">
      <x:c r="A20" s="29" t="s">
        <x:v>136</x:v>
      </x:c>
      <x:c r="B20" s="66" t="s">
        <x:v>137</x:v>
      </x:c>
      <x:c r="C20" s="32" t="s">
        <x:v>138</x:v>
      </x:c>
      <x:c r="D20" s="32"/>
      <x:c r="E20" s="32"/>
      <x:c r="F20" s="32"/>
    </x:row>
    <x:row r="21" ht="30" customHeight="1">
      <x:c r="A21" s="29" t="s">
        <x:v>139</x:v>
      </x:c>
      <x:c r="B21" s="66" t="s">
        <x:v>140</x:v>
      </x:c>
      <x:c r="C21" s="32" t="s">
        <x:v>141</x:v>
      </x:c>
      <x:c r="D21" s="32"/>
      <x:c r="E21" s="32"/>
      <x:c r="F21" s="32"/>
    </x:row>
    <x:row r="22" ht="30" customHeight="1">
      <x:c r="A22" s="55" t="s">
        <x:v>46</x:v>
      </x:c>
      <x:c r="B22" s="56" t="s">
        <x:v>142</x:v>
      </x:c>
      <x:c r="C22" s="32" t="s">
        <x:v>143</x:v>
      </x:c>
      <x:c r="D22" s="32"/>
      <x:c r="E22" s="32"/>
      <x:c r="F22" s="32"/>
    </x:row>
    <x:row r="23">
      <x:c r="A23" s="67"/>
      <x:c r="B23" s="67"/>
      <x:c r="C23" s="68"/>
      <x:c r="D23" s="67"/>
      <x:c r="E23" s="67"/>
      <x:c r="F23" s="67"/>
    </x:row>
  </x:sheetData>
  <x:mergeCells>
    <x:mergeCell ref="C21:F21"/>
    <x:mergeCell ref="C22:F22"/>
    <x:mergeCell ref="A1:F1"/>
    <x:mergeCell ref="A2:F2"/>
    <x:mergeCell ref="A18:F18"/>
    <x:mergeCell ref="C19:F19"/>
    <x:mergeCell ref="C20:F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25" customWidth="1"/>
    <x:col min="2" max="2" width="22" customWidth="1"/>
    <x:col min="3" max="3" width="18" customWidth="1"/>
    <x:col min="4" max="4" width="16" customWidth="1"/>
    <x:col min="5" max="5" width="17" customWidth="1"/>
    <x:col min="6" max="6" width="26" customWidth="1"/>
    <x:col min="7" max="7" width="36" customWidth="1"/>
    <x:col min="8" max="8" width="42" customWidth="1"/>
  </x:cols>
  <x:sheetData>
    <x:row r="1" ht="25.049999237060547" customHeight="1">
      <x:c r="A1" s="6" t="s">
        <x:v>144</x:v>
      </x:c>
      <x:c r="B1" s="7"/>
      <x:c r="C1" s="7"/>
      <x:c r="D1" s="7"/>
      <x:c r="E1" s="7"/>
      <x:c r="F1" s="7"/>
      <x:c r="G1" s="7"/>
      <x:c r="H1" s="7"/>
    </x:row>
    <x:row r="2" ht="19.200000762939453" customHeight="1">
      <x:c r="A2" s="14" t="s">
        <x:v>145</x:v>
      </x:c>
      <x:c r="B2" s="15"/>
      <x:c r="C2" s="15"/>
      <x:c r="D2" s="15"/>
      <x:c r="E2" s="15"/>
      <x:c r="F2" s="15"/>
      <x:c r="G2" s="15"/>
      <x:c r="H2" s="15"/>
    </x:row>
    <x:row r="4" s="16" customFormat="1" ht="34.95000076293945" customHeight="1">
      <x:c r="A4" s="18" t="s">
        <x:v>146</x:v>
      </x:c>
      <x:c r="B4" s="18" t="s">
        <x:v>147</x:v>
      </x:c>
      <x:c r="C4" s="18" t="s">
        <x:v>148</x:v>
      </x:c>
      <x:c r="D4" s="18" t="s">
        <x:v>149</x:v>
      </x:c>
      <x:c r="E4" s="18" t="s">
        <x:v>150</x:v>
      </x:c>
      <x:c r="F4" s="18" t="s">
        <x:v>151</x:v>
      </x:c>
      <x:c r="G4" s="18" t="s">
        <x:v>63</x:v>
      </x:c>
      <x:c r="H4" s="18" t="s">
        <x:v>152</x:v>
      </x:c>
    </x:row>
    <x:row r="5" ht="40.04999923706055" customHeight="1">
      <x:c r="A5" s="69" t="s">
        <x:v>153</x:v>
      </x:c>
      <x:c r="B5" s="71">
        <x:v>45931</x:v>
      </x:c>
      <x:c r="C5" s="71">
        <x:v>46798</x:v>
      </x:c>
      <x:c r="D5" s="51">
        <x:v>0</x:v>
      </x:c>
      <x:c r="E5" s="51"/>
      <x:c r="F5" s="69" t="s">
        <x:v>154</x:v>
      </x:c>
      <x:c r="G5" s="69" t="s">
        <x:v>155</x:v>
      </x:c>
      <x:c r="H5" s="69" t="s">
        <x:v>156</x:v>
      </x:c>
    </x:row>
    <x:row r="6" ht="40.04999923706055" customHeight="1">
      <x:c r="A6" s="69" t="s">
        <x:v>157</x:v>
      </x:c>
      <x:c r="B6" s="71">
        <x:v>46265</x:v>
      </x:c>
      <x:c r="C6" s="71">
        <x:v>46927</x:v>
      </x:c>
      <x:c r="D6" s="51">
        <x:v>111</x:v>
      </x:c>
      <x:c r="E6" s="51">
        <x:v>0</x:v>
      </x:c>
      <x:c r="F6" s="69" t="s">
        <x:v>158</x:v>
      </x:c>
      <x:c r="G6" s="69" t="s">
        <x:v>159</x:v>
      </x:c>
      <x:c r="H6" s="69" t="s">
        <x:v>160</x:v>
      </x:c>
    </x:row>
    <x:row r="7" ht="40.04999923706055" customHeight="1">
      <x:c r="A7" s="69" t="s">
        <x:v>161</x:v>
      </x:c>
      <x:c r="B7" s="71">
        <x:v>46265</x:v>
      </x:c>
      <x:c r="C7" s="71">
        <x:v>46857</x:v>
      </x:c>
      <x:c r="D7" s="51">
        <x:v>51</x:v>
      </x:c>
      <x:c r="E7" s="70">
        <x:v>60</x:v>
      </x:c>
      <x:c r="F7" s="69" t="s">
        <x:v>162</x:v>
      </x:c>
      <x:c r="G7" s="69" t="s">
        <x:v>163</x:v>
      </x:c>
      <x:c r="H7" s="69" t="s">
        <x:v>164</x:v>
      </x:c>
    </x:row>
    <x:row r="10" s="16" customFormat="1" ht="34.95000076293945" customHeight="1">
      <x:c r="A10" s="18" t="s">
        <x:v>165</x:v>
      </x:c>
      <x:c r="B10" s="18" t="s">
        <x:v>166</x:v>
      </x:c>
      <x:c r="C10" s="18" t="s">
        <x:v>167</x:v>
      </x:c>
      <x:c r="D10" s="18" t="s">
        <x:v>168</x:v>
      </x:c>
      <x:c r="E10" s="18" t="s">
        <x:v>169</x:v>
      </x:c>
      <x:c r="F10" s="18" t="s">
        <x:v>170</x:v>
      </x:c>
      <x:c r="G10" s="18" t="s">
        <x:v>171</x:v>
      </x:c>
      <x:c r="H10" s="18" t="s">
        <x:v>172</x:v>
      </x:c>
    </x:row>
    <x:row r="11" ht="34.95000076293945" customHeight="1">
      <x:c r="A11" s="69" t="s">
        <x:v>173</x:v>
      </x:c>
      <x:c r="B11" s="69" t="s">
        <x:v>174</x:v>
      </x:c>
      <x:c r="C11" s="51">
        <x:v>20</x:v>
      </x:c>
      <x:c r="D11" s="69" t="s">
        <x:v>175</x:v>
      </x:c>
      <x:c r="E11" s="69" t="s">
        <x:v>176</x:v>
      </x:c>
      <x:c r="F11" s="51" t="s">
        <x:v>177</x:v>
      </x:c>
      <x:c r="G11" s="51" t="s">
        <x:v>178</x:v>
      </x:c>
      <x:c r="H11" s="51" t="str">
        <x:v>PROPOSED</x:v>
      </x:c>
    </x:row>
    <x:row r="12" ht="34.95000076293945" customHeight="1">
      <x:c r="A12" s="69" t="s">
        <x:v>179</x:v>
      </x:c>
      <x:c r="B12" s="69" t="s">
        <x:v>180</x:v>
      </x:c>
      <x:c r="C12" s="51">
        <x:v>15</x:v>
      </x:c>
      <x:c r="D12" s="69" t="s">
        <x:v>181</x:v>
      </x:c>
      <x:c r="E12" s="69" t="s">
        <x:v>182</x:v>
      </x:c>
      <x:c r="F12" s="51" t="s">
        <x:v>183</x:v>
      </x:c>
      <x:c r="G12" s="51" t="s">
        <x:v>184</x:v>
      </x:c>
      <x:c r="H12" s="51" t="str">
        <x:v>PROPOSED</x:v>
      </x:c>
    </x:row>
    <x:row r="13" ht="34.95000076293945" customHeight="1">
      <x:c r="A13" s="69" t="s">
        <x:v>185</x:v>
      </x:c>
      <x:c r="B13" s="69" t="s">
        <x:v>186</x:v>
      </x:c>
      <x:c r="C13" s="51">
        <x:v>10</x:v>
      </x:c>
      <x:c r="D13" s="69" t="s">
        <x:v>187</x:v>
      </x:c>
      <x:c r="E13" s="69" t="s">
        <x:v>188</x:v>
      </x:c>
      <x:c r="F13" s="51" t="s">
        <x:v>189</x:v>
      </x:c>
      <x:c r="G13" s="51" t="s">
        <x:v>178</x:v>
      </x:c>
      <x:c r="H13" s="51" t="str">
        <x:v>PROPOSED</x:v>
      </x:c>
    </x:row>
    <x:row r="14" ht="34.95000076293945" customHeight="1">
      <x:c r="A14" s="69" t="s">
        <x:v>190</x:v>
      </x:c>
      <x:c r="B14" s="69" t="s">
        <x:v>186</x:v>
      </x:c>
      <x:c r="C14" s="51">
        <x:v>10</x:v>
      </x:c>
      <x:c r="D14" s="69" t="s">
        <x:v>191</x:v>
      </x:c>
      <x:c r="E14" s="69" t="s">
        <x:v>192</x:v>
      </x:c>
      <x:c r="F14" s="51" t="s">
        <x:v>193</x:v>
      </x:c>
      <x:c r="G14" s="51" t="s">
        <x:v>194</x:v>
      </x:c>
      <x:c r="H14" s="51" t="str">
        <x:v>PROPOSED</x:v>
      </x:c>
    </x:row>
    <x:row r="15" ht="34.95000076293945" customHeight="1">
      <x:c r="A15" s="69" t="s">
        <x:v>195</x:v>
      </x:c>
      <x:c r="B15" s="69" t="s">
        <x:v>196</x:v>
      </x:c>
      <x:c r="C15" s="51">
        <x:v>5</x:v>
      </x:c>
      <x:c r="D15" s="69" t="s">
        <x:v>197</x:v>
      </x:c>
      <x:c r="E15" s="69" t="s">
        <x:v>198</x:v>
      </x:c>
      <x:c r="F15" s="51" t="s">
        <x:v>199</x:v>
      </x:c>
      <x:c r="G15" s="51" t="s">
        <x:v>200</x:v>
      </x:c>
      <x:c r="H15" s="51" t="str">
        <x:v>PROPOSED</x:v>
      </x:c>
    </x:row>
    <x:row r="17">
      <x:c r="A17" s="72" t="s">
        <x:v>201</x:v>
      </x:c>
      <x:c r="B17" s="72"/>
      <x:c r="C17" s="72"/>
      <x:c r="D17" s="72"/>
      <x:c r="E17" s="72"/>
      <x:c r="F17" s="72"/>
      <x:c r="G17" s="72"/>
      <x:c r="H17" s="72"/>
    </x:row>
    <x:row r="18" ht="15.600000381469727">
      <x:c r="A18" s="72"/>
      <x:c r="B18" s="72"/>
      <x:c r="C18" s="72"/>
      <x:c r="D18" s="72"/>
      <x:c r="E18" s="72"/>
      <x:c r="F18" s="72"/>
      <x:c r="G18" s="72"/>
      <x:c r="H18" s="72"/>
    </x:row>
  </x:sheetData>
  <x:mergeCells>
    <x:mergeCell ref="A1:H1"/>
    <x:mergeCell ref="A2:H2"/>
    <x:mergeCell ref="A17:H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16" style="25" customWidth="1"/>
    <x:col min="2" max="2" width="22" customWidth="1"/>
    <x:col min="3" max="3" width="55" customWidth="1"/>
    <x:col min="4" max="4" width="75.77734375" customWidth="1"/>
  </x:cols>
  <x:sheetData>
    <x:row r="1" ht="25.049999237060547" customHeight="1">
      <x:c r="A1" s="6" t="s">
        <x:v>202</x:v>
      </x:c>
      <x:c r="B1" s="7"/>
      <x:c r="C1" s="7"/>
      <x:c r="D1" s="7"/>
    </x:row>
    <x:row r="2" ht="19.200000762939453" customHeight="1">
      <x:c r="A2" s="14" t="s">
        <x:v>203</x:v>
      </x:c>
      <x:c r="B2" s="15"/>
      <x:c r="C2" s="15"/>
      <x:c r="D2" s="15"/>
    </x:row>
    <x:row r="4" s="16" customFormat="1" ht="25.049999237060547" customHeight="1">
      <x:c r="A4" s="18" t="s">
        <x:v>204</x:v>
      </x:c>
      <x:c r="B4" s="18" t="s">
        <x:v>205</x:v>
      </x:c>
      <x:c r="C4" s="18" t="s">
        <x:v>206</x:v>
      </x:c>
      <x:c r="D4" s="18" t="s">
        <x:v>207</x:v>
      </x:c>
    </x:row>
    <x:row r="5" ht="40.04999923706055" customHeight="1">
      <x:c r="A5" s="71">
        <x:v>45889</x:v>
      </x:c>
      <x:c r="B5" s="69" t="s">
        <x:v>208</x:v>
      </x:c>
      <x:c r="C5" s="69" t="s">
        <x:v>209</x:v>
      </x:c>
      <x:c r="D5" s="69" t="s">
        <x:v>210</x:v>
      </x:c>
    </x:row>
    <x:row r="6" ht="40.04999923706055" customHeight="1">
      <x:c r="A6" s="71">
        <x:v>45889</x:v>
      </x:c>
      <x:c r="B6" s="69" t="s">
        <x:v>211</x:v>
      </x:c>
      <x:c r="C6" s="69" t="s">
        <x:v>212</x:v>
      </x:c>
      <x:c r="D6" s="69" t="s">
        <x:v>213</x:v>
      </x:c>
    </x:row>
    <x:row r="7" ht="40.04999923706055" customHeight="1">
      <x:c r="A7" s="71">
        <x:v>45898</x:v>
      </x:c>
      <x:c r="B7" s="69" t="s">
        <x:v>214</x:v>
      </x:c>
      <x:c r="C7" s="69" t="s">
        <x:v>215</x:v>
      </x:c>
      <x:c r="D7" s="69" t="s">
        <x:v>216</x:v>
      </x:c>
    </x:row>
    <x:row r="8" ht="40.04999923706055" customHeight="1">
      <x:c r="A8" s="71">
        <x:v>46147</x:v>
      </x:c>
      <x:c r="B8" s="69" t="s">
        <x:v>208</x:v>
      </x:c>
      <x:c r="C8" s="69" t="s">
        <x:v>217</x:v>
      </x:c>
      <x:c r="D8" s="69" t="s">
        <x:v>218</x:v>
      </x:c>
    </x:row>
    <x:row r="9" ht="40.04999923706055" customHeight="1">
      <x:c r="A9" s="71">
        <x:v>46261</x:v>
      </x:c>
      <x:c r="B9" s="69" t="s">
        <x:v>219</x:v>
      </x:c>
      <x:c r="C9" s="69" t="s">
        <x:v>220</x:v>
      </x:c>
      <x:c r="D9" s="69" t="s">
        <x:v>221</x:v>
      </x:c>
    </x:row>
    <x:row r="10" ht="43.20000076293945">
      <x:c r="A10" s="56"/>
      <x:c r="B10" s="55" t="s">
        <x:v>222</x:v>
      </x:c>
      <x:c r="C10" s="55" t="s">
        <x:v>223</x:v>
      </x:c>
      <x:c r="D10" s="55" t="s">
        <x:v>224</x:v>
      </x:c>
    </x:row>
    <x:row r="11" ht="43.20000076293945">
      <x:c r="A11" s="56"/>
      <x:c r="B11" s="55" t="s">
        <x:v>225</x:v>
      </x:c>
      <x:c r="C11" s="55" t="s">
        <x:v>226</x:v>
      </x:c>
      <x:c r="D11" s="55" t="s">
        <x:v>224</x:v>
      </x:c>
    </x:row>
    <x:row r="12">
      <x:c r="A12" s="49"/>
      <x:c r="B12" s="2"/>
      <x:c r="C12" s="2"/>
      <x:c r="D12" s="2"/>
    </x:row>
    <x:row r="13" s="16" customFormat="1" ht="31.950000762939453" customHeight="1">
      <x:c r="A13" s="73" t="s">
        <x:v>227</x:v>
      </x:c>
      <x:c r="B13" s="73" t="s">
        <x:v>228</x:v>
      </x:c>
      <x:c r="C13" s="73" t="s">
        <x:v>130</x:v>
      </x:c>
      <x:c r="D13" s="73" t="s">
        <x:v>229</x:v>
      </x:c>
    </x:row>
    <x:row r="14" ht="30" customHeight="1">
      <x:c r="A14" s="51" t="s">
        <x:v>230</x:v>
      </x:c>
      <x:c r="B14" s="69" t="s">
        <x:v>231</x:v>
      </x:c>
      <x:c r="C14" s="69" t="s">
        <x:v>232</x:v>
      </x:c>
      <x:c r="D14" s="69" t="s">
        <x:v>233</x:v>
      </x:c>
    </x:row>
    <x:row r="15" ht="30" customHeight="1">
      <x:c r="A15" s="51" t="s">
        <x:v>234</x:v>
      </x:c>
      <x:c r="B15" s="69" t="s">
        <x:v>235</x:v>
      </x:c>
      <x:c r="C15" s="69" t="s">
        <x:v>236</x:v>
      </x:c>
      <x:c r="D15" s="69" t="s">
        <x:v>237</x:v>
      </x:c>
    </x:row>
    <x:row r="16" ht="19.950000762939453" customHeight="1">
      <x:c r="A16" s="56" t="s">
        <x:v>238</x:v>
      </x:c>
      <x:c r="B16" s="55" t="s">
        <x:v>239</x:v>
      </x:c>
      <x:c r="C16" s="55" t="s">
        <x:v>240</x:v>
      </x:c>
      <x:c r="D16" s="55" t="s">
        <x:v>241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34" customWidth="1"/>
    <x:col min="2" max="4" width="18" customWidth="1"/>
    <x:col min="5" max="5" width="30" customWidth="1"/>
    <x:col min="6" max="6" width="38" customWidth="1"/>
  </x:cols>
  <x:sheetData>
    <x:row r="1" s="46" customFormat="1" ht="25.049999237060547" customHeight="1">
      <x:c r="A1" s="74" t="s">
        <x:v>242</x:v>
      </x:c>
      <x:c r="B1" s="74"/>
      <x:c r="C1" s="74"/>
      <x:c r="D1" s="74"/>
      <x:c r="E1" s="74"/>
      <x:c r="F1" s="74"/>
    </x:row>
    <x:row r="2" ht="27.149999618530273" customHeight="1">
      <x:c r="A2" s="100" t="s">
        <x:v>243</x:v>
      </x:c>
      <x:c r="B2" s="100"/>
      <x:c r="C2" s="100"/>
      <x:c r="D2" s="100"/>
      <x:c r="E2" s="100"/>
      <x:c r="F2" s="100"/>
    </x:row>
    <x:row r="3">
      <x:c r="A3" s="3"/>
      <x:c r="B3" s="3"/>
      <x:c r="C3" s="3"/>
      <x:c r="D3" s="3"/>
      <x:c r="E3" s="3"/>
      <x:c r="F3" s="3"/>
    </x:row>
    <x:row r="4" s="16" customFormat="1" ht="36" customHeight="1">
      <x:c r="A4" s="75" t="s">
        <x:v>244</x:v>
      </x:c>
      <x:c r="B4" s="76" t="s">
        <x:v>245</x:v>
      </x:c>
      <x:c r="C4" s="76"/>
      <x:c r="D4" s="76" t="s">
        <x:v>246</x:v>
      </x:c>
      <x:c r="E4" s="77"/>
      <x:c r="F4" s="78"/>
    </x:row>
    <x:row r="5" ht="19.950000762939453" customHeight="1">
      <x:c r="A5" s="4" t="s">
        <x:v>247</x:v>
      </x:c>
      <x:c r="B5" s="79" t="s">
        <x:v>248</x:v>
      </x:c>
      <x:c r="C5" s="79"/>
      <x:c r="D5" s="8" t="s">
        <x:v>249</x:v>
      </x:c>
      <x:c r="E5" s="9"/>
      <x:c r="F5" s="10"/>
    </x:row>
    <x:row r="6" ht="19.950000762939453" customHeight="1">
      <x:c r="A6" s="4" t="s">
        <x:v>250</x:v>
      </x:c>
      <x:c r="B6" s="80">
        <x:v>46265</x:v>
      </x:c>
      <x:c r="C6" s="80"/>
      <x:c r="D6" s="8" t="s">
        <x:v>251</x:v>
      </x:c>
      <x:c r="E6" s="9"/>
      <x:c r="F6" s="10"/>
    </x:row>
    <x:row r="7" ht="19.950000762939453" customHeight="1">
      <x:c r="A7" s="4" t="s">
        <x:v>252</x:v>
      </x:c>
      <x:c r="B7" s="81" t="n">
        <x:f>'01_BOQ'!F19</x:f>
        <x:v>6000000000</x:v>
      </x:c>
      <x:c r="C7" s="81"/>
      <x:c r="D7" s="8" t="s">
        <x:v>253</x:v>
      </x:c>
      <x:c r="E7" s="9"/>
      <x:c r="F7" s="10"/>
    </x:row>
    <x:row r="8" ht="19.950000762939453" customHeight="1">
      <x:c r="A8" s="4" t="s">
        <x:v>254</x:v>
      </x:c>
      <x:c r="B8" s="82" t="n">
        <x:f>'02_STATUS'!G20</x:f>
        <x:v>0.12095</x:v>
      </x:c>
      <x:c r="C8" s="82"/>
      <x:c r="D8" s="8" t="s">
        <x:v>255</x:v>
      </x:c>
      <x:c r="E8" s="9"/>
      <x:c r="F8" s="10"/>
    </x:row>
    <x:row r="9" ht="19.950000762939453" customHeight="1">
      <x:c r="A9" s="4" t="s">
        <x:v>256</x:v>
      </x:c>
      <x:c r="B9" s="82">
        <x:v>9.5000000000000001E-2</x:v>
      </x:c>
      <x:c r="C9" s="82"/>
      <x:c r="D9" s="8" t="s">
        <x:v>257</x:v>
      </x:c>
      <x:c r="E9" s="9"/>
      <x:c r="F9" s="10"/>
    </x:row>
    <x:row r="10" ht="19.950000762939453" customHeight="1">
      <x:c r="A10" s="4" t="s">
        <x:v>258</x:v>
      </x:c>
      <x:c r="B10" s="82" t="n">
        <x:f>B8-B9</x:f>
        <x:v>0.02595</x:v>
      </x:c>
      <x:c r="C10" s="82"/>
      <x:c r="D10" s="8" t="s">
        <x:v>259</x:v>
      </x:c>
      <x:c r="E10" s="9"/>
      <x:c r="F10" s="10"/>
    </x:row>
    <x:row r="11" ht="19.950000762939453" customHeight="1">
      <x:c r="A11" s="4" t="s">
        <x:v>260</x:v>
      </x:c>
      <x:c r="B11" s="82">
        <x:v>0.1</x:v>
      </x:c>
      <x:c r="C11" s="82"/>
      <x:c r="D11" s="8" t="s">
        <x:v>261</x:v>
      </x:c>
      <x:c r="E11" s="9"/>
      <x:c r="F11" s="10"/>
    </x:row>
    <x:row r="12" ht="19.950000762939453" customHeight="1">
      <x:c r="A12" s="5" t="s">
        <x:v>262</x:v>
      </x:c>
      <x:c r="B12" s="83" t="s">
        <x:v>263</x:v>
      </x:c>
      <x:c r="C12" s="83"/>
      <x:c r="D12" s="11" t="s">
        <x:v>264</x:v>
      </x:c>
      <x:c r="E12" s="12"/>
      <x:c r="F12" s="13"/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  <x:row r="15" s="16" customFormat="1" ht="34.95000076293945" customHeight="1">
      <x:c r="A15" s="86" t="s">
        <x:v>265</x:v>
      </x:c>
      <x:c r="B15" s="86" t="s">
        <x:v>266</x:v>
      </x:c>
      <x:c r="C15" s="86" t="s">
        <x:v>267</x:v>
      </x:c>
      <x:c r="D15" s="86" t="s">
        <x:v>268</x:v>
      </x:c>
      <x:c r="E15" s="86" t="s">
        <x:v>112</x:v>
      </x:c>
      <x:c r="F15" s="86" t="s">
        <x:v>269</x:v>
      </x:c>
    </x:row>
    <x:row r="16" ht="19.950000762939453" customHeight="1">
      <x:c r="A16" s="87" t="s">
        <x:v>270</x:v>
      </x:c>
      <x:c r="B16" s="88" t="n">
        <x:f>$B$7*$B$9</x:f>
        <x:v>570000000</x:v>
      </x:c>
      <x:c r="C16" s="88" t="n">
        <x:f>$B$7*$B$10</x:f>
        <x:v>155700000</x:v>
      </x:c>
      <x:c r="D16" s="88" t="n">
        <x:f>$B$7*$B$8</x:f>
        <x:v>725700000</x:v>
      </x:c>
      <x:c r="E16" s="89" t="s">
        <x:v>271</x:v>
      </x:c>
      <x:c r="F16" s="90" t="s">
        <x:v>272</x:v>
      </x:c>
    </x:row>
    <x:row r="17" ht="30" customHeight="1">
      <x:c r="A17" s="87" t="s">
        <x:v>273</x:v>
      </x:c>
      <x:c r="B17" s="88">
        <x:v>0</x:v>
      </x:c>
      <x:c r="C17" s="88">
        <x:v>0</x:v>
      </x:c>
      <x:c r="D17" s="88">
        <x:v>0</x:v>
      </x:c>
      <x:c r="E17" s="89" t="s">
        <x:v>274</x:v>
      </x:c>
      <x:c r="F17" s="90" t="s">
        <x:v>275</x:v>
      </x:c>
    </x:row>
    <x:row r="18" ht="19.950000762939453" customHeight="1">
      <x:c r="A18" s="87" t="s">
        <x:v>276</x:v>
      </x:c>
      <x:c r="B18" s="88">
        <x:v>0</x:v>
      </x:c>
      <x:c r="C18" s="88">
        <x:v>0</x:v>
      </x:c>
      <x:c r="D18" s="88">
        <x:v>0</x:v>
      </x:c>
      <x:c r="E18" s="89" t="s">
        <x:v>277</x:v>
      </x:c>
      <x:c r="F18" s="90" t="s">
        <x:v>278</x:v>
      </x:c>
    </x:row>
    <x:row r="19" ht="19.950000762939453" customHeight="1">
      <x:c r="A19" s="87" t="s">
        <x:v>279</x:v>
      </x:c>
      <x:c r="B19" s="88">
        <x:v>0</x:v>
      </x:c>
      <x:c r="C19" s="88">
        <x:v>0</x:v>
      </x:c>
      <x:c r="D19" s="88">
        <x:v>0</x:v>
      </x:c>
      <x:c r="E19" s="89" t="s">
        <x:v>277</x:v>
      </x:c>
      <x:c r="F19" s="90" t="s">
        <x:v>278</x:v>
      </x:c>
    </x:row>
    <x:row r="20" ht="19.950000762939453" customHeight="1">
      <x:c r="A20" s="91" t="s">
        <x:v>280</x:v>
      </x:c>
      <x:c r="B20" s="92" t="n">
        <x:f>SUM(B16:B19)</x:f>
        <x:v>570000000</x:v>
      </x:c>
      <x:c r="C20" s="92" t="n">
        <x:f>SUM(C16:C19)</x:f>
        <x:v>155700000</x:v>
      </x:c>
      <x:c r="D20" s="92" t="n">
        <x:f>SUM(D16:D19)</x:f>
        <x:v>725700000</x:v>
      </x:c>
      <x:c r="E20" s="93" t="s">
        <x:v>281</x:v>
      </x:c>
      <x:c r="F20" s="91" t="s">
        <x:v>67</x:v>
      </x:c>
    </x:row>
    <x:row r="21" ht="19.950000762939453" customHeight="1">
      <x:c r="A21" s="87" t="s">
        <x:v>282</x:v>
      </x:c>
      <x:c r="B21" s="88" t="n">
        <x:f>B20*$B$11</x:f>
        <x:v>57000000</x:v>
      </x:c>
      <x:c r="C21" s="88" t="n">
        <x:f>C20*$B$11</x:f>
        <x:v>15570000</x:v>
      </x:c>
      <x:c r="D21" s="88" t="n">
        <x:f>D20*$B$11</x:f>
        <x:v>72570000</x:v>
      </x:c>
      <x:c r="E21" s="89" t="s">
        <x:v>283</x:v>
      </x:c>
      <x:c r="F21" s="90" t="s">
        <x:v>284</x:v>
      </x:c>
    </x:row>
    <x:row r="22" ht="19.950000762939453" customHeight="1">
      <x:c r="A22" s="87" t="s">
        <x:v>285</x:v>
      </x:c>
      <x:c r="B22" s="88">
        <x:v>0</x:v>
      </x:c>
      <x:c r="C22" s="88">
        <x:v>0</x:v>
      </x:c>
      <x:c r="D22" s="88">
        <x:v>0</x:v>
      </x:c>
      <x:c r="E22" s="89" t="s">
        <x:v>277</x:v>
      </x:c>
      <x:c r="F22" s="90" t="s">
        <x:v>286</x:v>
      </x:c>
    </x:row>
    <x:row r="23" ht="19.950000762939453" customHeight="1">
      <x:c r="A23" s="87" t="s">
        <x:v>287</x:v>
      </x:c>
      <x:c r="B23" s="88">
        <x:v>0</x:v>
      </x:c>
      <x:c r="C23" s="88">
        <x:v>0</x:v>
      </x:c>
      <x:c r="D23" s="88">
        <x:v>0</x:v>
      </x:c>
      <x:c r="E23" s="89" t="s">
        <x:v>277</x:v>
      </x:c>
      <x:c r="F23" s="90" t="s">
        <x:v>288</x:v>
      </x:c>
    </x:row>
    <x:row r="24" ht="19.950000762939453" customHeight="1">
      <x:c r="A24" s="94" t="s">
        <x:v>289</x:v>
      </x:c>
      <x:c r="B24" s="95" t="n">
        <x:f>B20-B21-B22-B23</x:f>
        <x:v>513000000</x:v>
      </x:c>
      <x:c r="C24" s="95" t="n">
        <x:f>C20-C21-C22-C23</x:f>
        <x:v>140130000</x:v>
      </x:c>
      <x:c r="D24" s="95" t="n">
        <x:f>D20-D21-D22-D23</x:f>
        <x:v>653130000</x:v>
      </x:c>
      <x:c r="E24" s="94" t="s">
        <x:v>290</x:v>
      </x:c>
      <x:c r="F24" s="94" t="s">
        <x:v>67</x:v>
      </x:c>
    </x:row>
    <x:row r="25">
      <x:c r="A25" s="3"/>
      <x:c r="B25" s="3"/>
      <x:c r="C25" s="3"/>
      <x:c r="D25" s="3"/>
      <x:c r="E25" s="3"/>
      <x:c r="F25" s="3"/>
    </x:row>
    <x:row r="26" s="16" customFormat="1" ht="25.049999237060547" customHeight="1">
      <x:c r="A26" s="84" t="s">
        <x:v>291</x:v>
      </x:c>
      <x:c r="B26" s="84"/>
      <x:c r="C26" s="84"/>
      <x:c r="D26" s="85" t="n">
        <x:f>C24</x:f>
        <x:v>140130000</x:v>
      </x:c>
      <x:c r="E26" s="85"/>
      <x:c r="F26" s="85"/>
    </x:row>
    <x:row r="27">
      <x:c r="A27" s="3"/>
      <x:c r="B27" s="3"/>
      <x:c r="C27" s="3"/>
      <x:c r="D27" s="3"/>
      <x:c r="E27" s="3"/>
      <x:c r="F27" s="3"/>
    </x:row>
    <x:row r="28" s="16" customFormat="1" ht="36">
      <x:c r="A28" s="86" t="s">
        <x:v>292</x:v>
      </x:c>
      <x:c r="B28" s="86" t="s">
        <x:v>293</x:v>
      </x:c>
      <x:c r="C28" s="97" t="s">
        <x:v>294</x:v>
      </x:c>
      <x:c r="D28" s="97"/>
      <x:c r="E28" s="97"/>
      <x:c r="F28" s="97"/>
    </x:row>
    <x:row r="29" ht="19.950000762939453" customHeight="1">
      <x:c r="A29" s="90" t="s">
        <x:v>295</x:v>
      </x:c>
      <x:c r="B29" s="90" t="s">
        <x:v>296</x:v>
      </x:c>
      <x:c r="C29" s="96" t="s">
        <x:v>297</x:v>
      </x:c>
      <x:c r="D29" s="96"/>
      <x:c r="E29" s="96"/>
      <x:c r="F29" s="96"/>
    </x:row>
    <x:row r="30" ht="30" customHeight="1">
      <x:c r="A30" s="90" t="s">
        <x:v>298</x:v>
      </x:c>
      <x:c r="B30" s="90" t="s">
        <x:v>299</x:v>
      </x:c>
      <x:c r="C30" s="96" t="s">
        <x:v>300</x:v>
      </x:c>
      <x:c r="D30" s="96"/>
      <x:c r="E30" s="96"/>
      <x:c r="F30" s="96"/>
    </x:row>
    <x:row r="31" ht="19.950000762939453" customHeight="1">
      <x:c r="A31" s="90" t="s">
        <x:v>301</x:v>
      </x:c>
      <x:c r="B31" s="90" t="s">
        <x:v>302</x:v>
      </x:c>
      <x:c r="C31" s="96" t="s">
        <x:v>303</x:v>
      </x:c>
      <x:c r="D31" s="96"/>
      <x:c r="E31" s="96"/>
      <x:c r="F31" s="96"/>
    </x:row>
    <x:row r="32" ht="19.950000762939453" customHeight="1">
      <x:c r="A32" s="90" t="s">
        <x:v>304</x:v>
      </x:c>
      <x:c r="B32" s="90" t="s">
        <x:v>302</x:v>
      </x:c>
      <x:c r="C32" s="96" t="s">
        <x:v>305</x:v>
      </x:c>
      <x:c r="D32" s="96"/>
      <x:c r="E32" s="96"/>
      <x:c r="F32" s="96"/>
    </x:row>
    <x:row r="33" ht="19.950000762939453" customHeight="1">
      <x:c r="A33" s="90" t="s">
        <x:v>306</x:v>
      </x:c>
      <x:c r="B33" s="90" t="s">
        <x:v>307</x:v>
      </x:c>
      <x:c r="C33" s="96" t="s">
        <x:v>308</x:v>
      </x:c>
      <x:c r="D33" s="96"/>
      <x:c r="E33" s="96"/>
      <x:c r="F33" s="96"/>
    </x:row>
    <x:row r="34">
      <x:c r="A34" s="3"/>
      <x:c r="B34" s="3"/>
      <x:c r="C34" s="3"/>
      <x:c r="D34" s="3"/>
      <x:c r="E34" s="3"/>
      <x:c r="F34" s="3"/>
    </x:row>
    <x:row r="35" ht="30" customHeight="1">
      <x:c r="A35" s="98" t="s">
        <x:v>309</x:v>
      </x:c>
      <x:c r="B35" s="98"/>
      <x:c r="C35" s="98"/>
      <x:c r="D35" s="98"/>
      <x:c r="E35" s="98"/>
      <x:c r="F35" s="98"/>
    </x:row>
    <x:row r="36" ht="19.950000762939453" customHeight="1">
      <x:c r="A36" s="99" t="s">
        <x:v>310</x:v>
      </x:c>
      <x:c r="B36" s="99"/>
      <x:c r="C36" s="99"/>
      <x:c r="D36" s="99"/>
      <x:c r="E36" s="99"/>
      <x:c r="F36" s="99"/>
    </x:row>
  </x:sheetData>
  <x:mergeCells>
    <x:mergeCell ref="A36:F36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C30:F30"/>
    <x:mergeCell ref="C31:F31"/>
    <x:mergeCell ref="C32:F32"/>
    <x:mergeCell ref="C33:F33"/>
    <x:mergeCell ref="A35:F35"/>
    <x:mergeCell ref="D12:F12"/>
    <x:mergeCell ref="A26:C26"/>
    <x:mergeCell ref="D26:F26"/>
    <x:mergeCell ref="C28:F28"/>
    <x:mergeCell ref="C29:F29"/>
    <x:mergeCell ref="D7:F7"/>
    <x:mergeCell ref="D8:F8"/>
    <x:mergeCell ref="D9:F9"/>
    <x:mergeCell ref="D10:F10"/>
    <x:mergeCell ref="D11:F11"/>
    <x:mergeCell ref="A1:F1"/>
    <x:mergeCell ref="A2:F2"/>
    <x:mergeCell ref="D4:F4"/>
    <x:mergeCell ref="D5:F5"/>
    <x:mergeCell ref="D6:F6"/>
  </x:mergeCells>
  <x:pageMargins left="0.7" right="0.7" top="0.75" bottom="0.75" header="0.3" footer="0.3"/>
</x:worksheet>
</file>